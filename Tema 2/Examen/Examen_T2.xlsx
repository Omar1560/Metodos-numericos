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cuments\"/>
    </mc:Choice>
  </mc:AlternateContent>
  <xr:revisionPtr revIDLastSave="0" documentId="8_{5786B9BB-4536-45B4-AFBA-0A5238A801DD}" xr6:coauthVersionLast="47" xr6:coauthVersionMax="47" xr10:uidLastSave="{00000000-0000-0000-0000-000000000000}"/>
  <bookViews>
    <workbookView xWindow="-110" yWindow="-110" windowWidth="19420" windowHeight="10300" activeTab="1" xr2:uid="{04A212FB-8C27-4B65-859F-4FD96A3C37C3}"/>
  </bookViews>
  <sheets>
    <sheet name="BISECIION " sheetId="1" r:id="rId1"/>
    <sheet name="SECANTE" sheetId="2" r:id="rId2"/>
    <sheet name="GRAF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2" i="3"/>
  <c r="A5" i="3"/>
  <c r="A7" i="3"/>
  <c r="A9" i="3"/>
  <c r="A3" i="3"/>
  <c r="A8" i="2"/>
  <c r="B8" i="2"/>
  <c r="C8" i="2"/>
  <c r="E8" i="2" s="1"/>
  <c r="D8" i="2"/>
  <c r="G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B9" i="2"/>
  <c r="D9" i="2"/>
  <c r="G7" i="2"/>
  <c r="F7" i="2"/>
  <c r="E7" i="2"/>
  <c r="D7" i="2"/>
  <c r="C7" i="2"/>
  <c r="B7" i="2"/>
  <c r="A7" i="2"/>
  <c r="F6" i="2"/>
  <c r="E6" i="2"/>
  <c r="D6" i="2"/>
  <c r="A8" i="1"/>
  <c r="B8" i="1"/>
  <c r="C8" i="1"/>
  <c r="D8" i="1"/>
  <c r="E8" i="1" s="1"/>
  <c r="C9" i="1" s="1"/>
  <c r="F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G7" i="1"/>
  <c r="F7" i="1"/>
  <c r="E7" i="1"/>
  <c r="D7" i="1"/>
  <c r="C7" i="1"/>
  <c r="B7" i="1"/>
  <c r="A7" i="1"/>
  <c r="F6" i="1"/>
  <c r="E6" i="1"/>
  <c r="D6" i="1"/>
  <c r="C2" i="1"/>
  <c r="C1" i="1"/>
  <c r="F8" i="2" l="1"/>
  <c r="C9" i="2" s="1"/>
  <c r="B9" i="1"/>
  <c r="G8" i="1"/>
  <c r="G9" i="2" l="1"/>
  <c r="E9" i="2"/>
  <c r="F9" i="2" s="1"/>
  <c r="C10" i="2" s="1"/>
  <c r="B10" i="2"/>
  <c r="D10" i="2" s="1"/>
  <c r="F9" i="1"/>
  <c r="D9" i="1"/>
  <c r="G10" i="2" l="1"/>
  <c r="E10" i="2"/>
  <c r="B11" i="2"/>
  <c r="D11" i="2" s="1"/>
  <c r="F10" i="2"/>
  <c r="C11" i="2" s="1"/>
  <c r="G9" i="1"/>
  <c r="E9" i="1"/>
  <c r="C10" i="1"/>
  <c r="B10" i="1"/>
  <c r="E11" i="2" l="1"/>
  <c r="B12" i="2"/>
  <c r="D12" i="2" s="1"/>
  <c r="F11" i="2"/>
  <c r="C12" i="2" s="1"/>
  <c r="G11" i="2"/>
  <c r="D10" i="1"/>
  <c r="F10" i="1"/>
  <c r="E12" i="2" l="1"/>
  <c r="B13" i="2"/>
  <c r="D13" i="2" s="1"/>
  <c r="F12" i="2"/>
  <c r="C13" i="2" s="1"/>
  <c r="G12" i="2"/>
  <c r="G10" i="1"/>
  <c r="E10" i="1"/>
  <c r="C11" i="1" s="1"/>
  <c r="E13" i="2" l="1"/>
  <c r="F13" i="2" s="1"/>
  <c r="C14" i="2" s="1"/>
  <c r="G13" i="2"/>
  <c r="B14" i="2"/>
  <c r="D14" i="2" s="1"/>
  <c r="B11" i="1"/>
  <c r="G14" i="2" l="1"/>
  <c r="E14" i="2"/>
  <c r="F14" i="2" s="1"/>
  <c r="C15" i="2" s="1"/>
  <c r="B15" i="2"/>
  <c r="D15" i="2" s="1"/>
  <c r="D11" i="1"/>
  <c r="F11" i="1"/>
  <c r="G15" i="2" l="1"/>
  <c r="E15" i="2"/>
  <c r="B16" i="2"/>
  <c r="D16" i="2" s="1"/>
  <c r="F15" i="2"/>
  <c r="C16" i="2" s="1"/>
  <c r="E11" i="1"/>
  <c r="B12" i="1" s="1"/>
  <c r="G11" i="1"/>
  <c r="E16" i="2" l="1"/>
  <c r="B17" i="2"/>
  <c r="D17" i="2" s="1"/>
  <c r="F16" i="2"/>
  <c r="C17" i="2" s="1"/>
  <c r="G16" i="2"/>
  <c r="F12" i="1"/>
  <c r="C12" i="1"/>
  <c r="D12" i="1" s="1"/>
  <c r="B18" i="2" l="1"/>
  <c r="D18" i="2" s="1"/>
  <c r="G17" i="2"/>
  <c r="E17" i="2"/>
  <c r="F17" i="2" s="1"/>
  <c r="C18" i="2" s="1"/>
  <c r="E12" i="1"/>
  <c r="G12" i="1"/>
  <c r="B13" i="1"/>
  <c r="C13" i="1"/>
  <c r="G18" i="2" l="1"/>
  <c r="E18" i="2"/>
  <c r="B19" i="2"/>
  <c r="D19" i="2" s="1"/>
  <c r="F18" i="2"/>
  <c r="C19" i="2" s="1"/>
  <c r="F13" i="1"/>
  <c r="D13" i="1"/>
  <c r="E19" i="2" l="1"/>
  <c r="B20" i="2"/>
  <c r="D20" i="2" s="1"/>
  <c r="F19" i="2"/>
  <c r="C20" i="2" s="1"/>
  <c r="G19" i="2"/>
  <c r="E13" i="1"/>
  <c r="G13" i="1"/>
  <c r="C14" i="1"/>
  <c r="B14" i="1"/>
  <c r="E20" i="2" l="1"/>
  <c r="B21" i="2"/>
  <c r="D21" i="2" s="1"/>
  <c r="F20" i="2"/>
  <c r="C21" i="2" s="1"/>
  <c r="G20" i="2"/>
  <c r="D14" i="1"/>
  <c r="F14" i="1"/>
  <c r="B22" i="2" l="1"/>
  <c r="D22" i="2" s="1"/>
  <c r="G21" i="2"/>
  <c r="E21" i="2"/>
  <c r="F21" i="2" s="1"/>
  <c r="C22" i="2" s="1"/>
  <c r="G14" i="1"/>
  <c r="E14" i="1"/>
  <c r="B15" i="1" s="1"/>
  <c r="G22" i="2" l="1"/>
  <c r="B23" i="2"/>
  <c r="D23" i="2" s="1"/>
  <c r="E22" i="2"/>
  <c r="F22" i="2" s="1"/>
  <c r="C23" i="2" s="1"/>
  <c r="F15" i="1"/>
  <c r="C15" i="1"/>
  <c r="D15" i="1" s="1"/>
  <c r="E23" i="2" l="1"/>
  <c r="B24" i="2"/>
  <c r="D24" i="2" s="1"/>
  <c r="F23" i="2"/>
  <c r="C24" i="2" s="1"/>
  <c r="G23" i="2"/>
  <c r="G15" i="1"/>
  <c r="E15" i="1"/>
  <c r="B16" i="1"/>
  <c r="C16" i="1"/>
  <c r="E24" i="2" l="1"/>
  <c r="B25" i="2"/>
  <c r="D25" i="2" s="1"/>
  <c r="F24" i="2"/>
  <c r="C25" i="2" s="1"/>
  <c r="G24" i="2"/>
  <c r="F16" i="1"/>
  <c r="D16" i="1"/>
  <c r="G25" i="2" l="1"/>
  <c r="E25" i="2"/>
  <c r="F25" i="2" s="1"/>
  <c r="E16" i="1"/>
  <c r="G16" i="1"/>
  <c r="B17" i="1"/>
  <c r="C17" i="1"/>
  <c r="F17" i="1" l="1"/>
  <c r="D17" i="1"/>
  <c r="E17" i="1" l="1"/>
  <c r="G17" i="1"/>
  <c r="C18" i="1"/>
  <c r="B18" i="1"/>
  <c r="D18" i="1" l="1"/>
  <c r="F18" i="1"/>
  <c r="G18" i="1" l="1"/>
  <c r="E18" i="1"/>
  <c r="C19" i="1" s="1"/>
  <c r="B19" i="1" l="1"/>
  <c r="D19" i="1" l="1"/>
  <c r="F19" i="1"/>
  <c r="E19" i="1" l="1"/>
  <c r="B20" i="1" s="1"/>
  <c r="G19" i="1"/>
  <c r="F20" i="1" l="1"/>
  <c r="C20" i="1"/>
  <c r="D20" i="1" s="1"/>
  <c r="E20" i="1" l="1"/>
  <c r="G20" i="1"/>
  <c r="B21" i="1"/>
  <c r="C21" i="1"/>
  <c r="F21" i="1" l="1"/>
  <c r="D21" i="1"/>
  <c r="G21" i="1" l="1"/>
  <c r="E21" i="1"/>
  <c r="C22" i="1"/>
  <c r="B22" i="1"/>
  <c r="F22" i="1" l="1"/>
  <c r="D22" i="1"/>
  <c r="G22" i="1" l="1"/>
  <c r="E22" i="1"/>
  <c r="B23" i="1"/>
  <c r="C23" i="1"/>
  <c r="D23" i="1" l="1"/>
  <c r="F23" i="1"/>
  <c r="E23" i="1" l="1"/>
  <c r="B24" i="1" s="1"/>
  <c r="G23" i="1"/>
  <c r="F24" i="1" l="1"/>
  <c r="C24" i="1"/>
  <c r="D24" i="1" s="1"/>
  <c r="E24" i="1" l="1"/>
  <c r="G24" i="1"/>
  <c r="B25" i="1"/>
  <c r="C25" i="1"/>
  <c r="F25" i="1" l="1"/>
  <c r="D25" i="1"/>
  <c r="G25" i="1" l="1"/>
  <c r="E25" i="1"/>
  <c r="C26" i="1"/>
  <c r="B26" i="1"/>
  <c r="D26" i="1" l="1"/>
  <c r="F26" i="1"/>
  <c r="G26" i="1" l="1"/>
  <c r="E26" i="1"/>
  <c r="C27" i="1" s="1"/>
  <c r="B27" i="1" l="1"/>
  <c r="D27" i="1" l="1"/>
  <c r="F27" i="1"/>
  <c r="G27" i="1" l="1"/>
  <c r="E27" i="1"/>
  <c r="B28" i="1" s="1"/>
  <c r="F28" i="1" l="1"/>
  <c r="C28" i="1"/>
  <c r="D28" i="1" s="1"/>
  <c r="E28" i="1" l="1"/>
  <c r="G28" i="1"/>
  <c r="B29" i="1"/>
  <c r="C29" i="1"/>
  <c r="F29" i="1" l="1"/>
  <c r="D29" i="1"/>
  <c r="G29" i="1" l="1"/>
  <c r="E29" i="1"/>
</calcChain>
</file>

<file path=xl/sharedStrings.xml><?xml version="1.0" encoding="utf-8"?>
<sst xmlns="http://schemas.openxmlformats.org/spreadsheetml/2006/main" count="22" uniqueCount="20">
  <si>
    <t>a</t>
  </si>
  <si>
    <t>A</t>
  </si>
  <si>
    <t>B</t>
  </si>
  <si>
    <t>ITERACION</t>
  </si>
  <si>
    <t>Xm</t>
  </si>
  <si>
    <t>f(xm)</t>
  </si>
  <si>
    <t>f(a)</t>
  </si>
  <si>
    <t>Error</t>
  </si>
  <si>
    <t>xn-1</t>
  </si>
  <si>
    <t>xn</t>
  </si>
  <si>
    <t>f(xn-1)</t>
  </si>
  <si>
    <t>f(xn)</t>
  </si>
  <si>
    <t>xn+1</t>
  </si>
  <si>
    <t>x0</t>
  </si>
  <si>
    <t>x1</t>
  </si>
  <si>
    <t>LA FUNCION TIENE DOS RAICES REALES DENTRO DEL INTERVALO , EN MI PROCEDIMIENTO ENCONTRE LA RAIZ NEGATIVA POR QUE LOS VALORES INICIALES ESTABAN MAS CERCA DE ELLLA</t>
  </si>
  <si>
    <t>x</t>
  </si>
  <si>
    <t xml:space="preserve">f(x) </t>
  </si>
  <si>
    <t xml:space="preserve">AQUÍ SE VEN LAS DOS RAICES </t>
  </si>
  <si>
    <t xml:space="preserve">AQUÍ SOLO SE ENCUNTRA UNA RAIZ POR LOS VALORES PRINCIPALES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</si>
</sst>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GRAFICA!$B$1</c:f>
              <c:strCache>
                <c:ptCount val="1"/>
                <c:pt idx="0">
                  <c:v>f(x)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GRAFICA!$A$2:$A$10</c:f>
              <c:numCache>
                <c:formatCode>General</c:formatCode>
                <c:ptCount val="9"/>
                <c:pt idx="0">
                  <c:v>-2</c:v>
                </c:pt>
                <c:pt idx="1">
                  <c:v>-1.9</c:v>
                </c:pt>
                <c:pt idx="2">
                  <c:v>-1</c:v>
                </c:pt>
                <c:pt idx="3">
                  <c:v>-0.9</c:v>
                </c:pt>
                <c:pt idx="4">
                  <c:v>0</c:v>
                </c:pt>
                <c:pt idx="5">
                  <c:v>0.1</c:v>
                </c:pt>
                <c:pt idx="6">
                  <c:v>1</c:v>
                </c:pt>
                <c:pt idx="7">
                  <c:v>1.1000000000000001</c:v>
                </c:pt>
                <c:pt idx="8">
                  <c:v>2</c:v>
                </c:pt>
              </c:numCache>
            </c:numRef>
          </c:xVal>
          <c:yVal>
            <c:numRef>
              <c:f>GRAFICA!$B$2:$B$10</c:f>
              <c:numCache>
                <c:formatCode>General</c:formatCode>
                <c:ptCount val="9"/>
                <c:pt idx="0">
                  <c:v>-4.8322936730942851</c:v>
                </c:pt>
                <c:pt idx="1">
                  <c:v>-4.2565791337270067</c:v>
                </c:pt>
                <c:pt idx="2">
                  <c:v>8.060461173627953E-2</c:v>
                </c:pt>
                <c:pt idx="3">
                  <c:v>0.43321993654132873</c:v>
                </c:pt>
                <c:pt idx="4">
                  <c:v>2</c:v>
                </c:pt>
                <c:pt idx="5">
                  <c:v>1.9800083305560516</c:v>
                </c:pt>
                <c:pt idx="6">
                  <c:v>8.060461173627953E-2</c:v>
                </c:pt>
                <c:pt idx="7">
                  <c:v>-0.30280775714884556</c:v>
                </c:pt>
                <c:pt idx="8">
                  <c:v>-4.8322936730942851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4-40F0-8D09-7EF2CFFB1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03423"/>
        <c:axId val="110412063"/>
      </c:scatterChart>
      <c:valAx>
        <c:axId val="11040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412063"/>
        <c:crosses val="autoZero"/>
        <c:crossBetween val="midCat"/>
      </c:valAx>
      <c:valAx>
        <c:axId val="11041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40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2</xdr:row>
      <xdr:rowOff>82550</xdr:rowOff>
    </xdr:from>
    <xdr:to>
      <xdr:col>10</xdr:col>
      <xdr:colOff>536575</xdr:colOff>
      <xdr:row>17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730365-41ED-0F29-A498-80EED2036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DED9-8A1E-42AB-829B-B2D51F7B75E6}">
  <dimension ref="A1:U29"/>
  <sheetViews>
    <sheetView zoomScaleNormal="100" workbookViewId="0">
      <selection activeCell="B5" sqref="B5"/>
    </sheetView>
  </sheetViews>
  <sheetFormatPr baseColWidth="10" defaultRowHeight="14.5" x14ac:dyDescent="0.35"/>
  <cols>
    <col min="2" max="2" width="16.90625" customWidth="1"/>
    <col min="3" max="3" width="21.6328125" customWidth="1"/>
    <col min="4" max="4" width="21.26953125" customWidth="1"/>
    <col min="5" max="5" width="25.81640625" customWidth="1"/>
    <col min="6" max="6" width="19.1796875" customWidth="1"/>
    <col min="7" max="7" width="24" customWidth="1"/>
    <col min="9" max="9" width="21.90625" customWidth="1"/>
  </cols>
  <sheetData>
    <row r="1" spans="1:21" x14ac:dyDescent="0.35">
      <c r="A1" t="s">
        <v>0</v>
      </c>
      <c r="B1">
        <v>-2</v>
      </c>
      <c r="C1">
        <f>2*COS(B1)-(B1^2)</f>
        <v>-4.8322936730942851</v>
      </c>
      <c r="D1">
        <v>2</v>
      </c>
    </row>
    <row r="2" spans="1:21" x14ac:dyDescent="0.35">
      <c r="C2">
        <f>2*COS(B2)-(B2^2)</f>
        <v>2</v>
      </c>
    </row>
    <row r="5" spans="1:21" x14ac:dyDescent="0.35">
      <c r="A5" t="s">
        <v>3</v>
      </c>
      <c r="B5" t="s">
        <v>1</v>
      </c>
      <c r="C5" t="s">
        <v>2</v>
      </c>
      <c r="D5" t="s">
        <v>4</v>
      </c>
      <c r="E5" t="s">
        <v>5</v>
      </c>
      <c r="F5" t="s">
        <v>6</v>
      </c>
      <c r="G5" t="s">
        <v>7</v>
      </c>
    </row>
    <row r="6" spans="1:21" x14ac:dyDescent="0.35">
      <c r="A6">
        <v>1</v>
      </c>
      <c r="B6">
        <v>-2</v>
      </c>
      <c r="C6">
        <v>2</v>
      </c>
      <c r="D6">
        <f>(B6)+(C6)/2</f>
        <v>-1</v>
      </c>
      <c r="E6">
        <f>2*COS(D6)-(D6^2)</f>
        <v>8.060461173627953E-2</v>
      </c>
      <c r="F6">
        <f>2*COS(B6)-(B6^2)</f>
        <v>-4.8322936730942851</v>
      </c>
    </row>
    <row r="7" spans="1:21" x14ac:dyDescent="0.35">
      <c r="A7">
        <f>A6+1</f>
        <v>2</v>
      </c>
      <c r="B7">
        <f>IF(F6*E6&lt;0, B6,D6)</f>
        <v>-2</v>
      </c>
      <c r="C7">
        <f>IF(F6*E6&lt;0, D6,C6)</f>
        <v>-1</v>
      </c>
      <c r="D7">
        <f>(B7+C7)/2</f>
        <v>-1.5</v>
      </c>
      <c r="E7">
        <f>2*COS(D7)-(D7^2)</f>
        <v>-2.1085255966645944</v>
      </c>
      <c r="F7">
        <f>2*COS(B7)-(B7^2)</f>
        <v>-4.8322936730942851</v>
      </c>
      <c r="G7">
        <f>ABS((D7-D6)/D7)</f>
        <v>0.33333333333333331</v>
      </c>
      <c r="I7" s="1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35">
      <c r="A8">
        <f t="shared" ref="A8:A29" si="0">A7+1</f>
        <v>3</v>
      </c>
      <c r="B8">
        <f t="shared" ref="B8:B29" si="1">IF(F7*E7&lt;0, B7,D7)</f>
        <v>-1.5</v>
      </c>
      <c r="C8">
        <f t="shared" ref="C8:C29" si="2">IF(F7*E7&lt;0, D7,C7)</f>
        <v>-1</v>
      </c>
      <c r="D8">
        <f t="shared" ref="D8:D29" si="3">(B8+C8)/2</f>
        <v>-1.25</v>
      </c>
      <c r="E8">
        <f t="shared" ref="E8:E29" si="4">2*COS(D8)-(D8^2)</f>
        <v>-0.93185527520946265</v>
      </c>
      <c r="F8">
        <f t="shared" ref="F8:F29" si="5">2*COS(B8)-(B8^2)</f>
        <v>-2.1085255966645944</v>
      </c>
      <c r="G8">
        <f t="shared" ref="G8:G29" si="6">ABS((D8-D7)/D8)</f>
        <v>0.2</v>
      </c>
    </row>
    <row r="9" spans="1:21" x14ac:dyDescent="0.35">
      <c r="A9">
        <f t="shared" si="0"/>
        <v>4</v>
      </c>
      <c r="B9">
        <f t="shared" si="1"/>
        <v>-1.25</v>
      </c>
      <c r="C9">
        <f t="shared" si="2"/>
        <v>-1</v>
      </c>
      <c r="D9">
        <f t="shared" si="3"/>
        <v>-1.125</v>
      </c>
      <c r="E9">
        <f t="shared" si="4"/>
        <v>-0.4032719664026676</v>
      </c>
      <c r="F9">
        <f t="shared" si="5"/>
        <v>-0.93185527520946265</v>
      </c>
      <c r="G9">
        <f t="shared" si="6"/>
        <v>0.1111111111111111</v>
      </c>
    </row>
    <row r="10" spans="1:21" x14ac:dyDescent="0.35">
      <c r="A10">
        <f t="shared" si="0"/>
        <v>5</v>
      </c>
      <c r="B10">
        <f t="shared" si="1"/>
        <v>-1.125</v>
      </c>
      <c r="C10">
        <f t="shared" si="2"/>
        <v>-1</v>
      </c>
      <c r="D10">
        <f t="shared" si="3"/>
        <v>-1.0625</v>
      </c>
      <c r="E10">
        <f t="shared" si="4"/>
        <v>-0.15552691459607337</v>
      </c>
      <c r="F10">
        <f t="shared" si="5"/>
        <v>-0.4032719664026676</v>
      </c>
      <c r="G10">
        <f t="shared" si="6"/>
        <v>5.8823529411764705E-2</v>
      </c>
    </row>
    <row r="11" spans="1:21" x14ac:dyDescent="0.35">
      <c r="A11">
        <f t="shared" si="0"/>
        <v>6</v>
      </c>
      <c r="B11">
        <f t="shared" si="1"/>
        <v>-1.0625</v>
      </c>
      <c r="C11">
        <f t="shared" si="2"/>
        <v>-1</v>
      </c>
      <c r="D11">
        <f t="shared" si="3"/>
        <v>-1.03125</v>
      </c>
      <c r="E11">
        <f t="shared" si="4"/>
        <v>-3.5982923879263939E-2</v>
      </c>
      <c r="F11">
        <f t="shared" si="5"/>
        <v>-0.15552691459607337</v>
      </c>
      <c r="G11">
        <f t="shared" si="6"/>
        <v>3.0303030303030304E-2</v>
      </c>
    </row>
    <row r="12" spans="1:21" x14ac:dyDescent="0.35">
      <c r="A12">
        <f t="shared" si="0"/>
        <v>7</v>
      </c>
      <c r="B12">
        <f t="shared" si="1"/>
        <v>-1.03125</v>
      </c>
      <c r="C12">
        <f t="shared" si="2"/>
        <v>-1</v>
      </c>
      <c r="D12">
        <f t="shared" si="3"/>
        <v>-1.015625</v>
      </c>
      <c r="E12">
        <f t="shared" si="4"/>
        <v>2.2683665749704929E-2</v>
      </c>
      <c r="F12">
        <f t="shared" si="5"/>
        <v>-3.5982923879263939E-2</v>
      </c>
      <c r="G12">
        <f t="shared" si="6"/>
        <v>1.5384615384615385E-2</v>
      </c>
    </row>
    <row r="13" spans="1:21" x14ac:dyDescent="0.35">
      <c r="A13">
        <f t="shared" si="0"/>
        <v>8</v>
      </c>
      <c r="B13">
        <f t="shared" si="1"/>
        <v>-1.03125</v>
      </c>
      <c r="C13">
        <f t="shared" si="2"/>
        <v>-1.015625</v>
      </c>
      <c r="D13">
        <f t="shared" si="3"/>
        <v>-1.0234375</v>
      </c>
      <c r="E13">
        <f t="shared" si="4"/>
        <v>-6.5568293152380441E-3</v>
      </c>
      <c r="F13">
        <f t="shared" si="5"/>
        <v>-3.5982923879263939E-2</v>
      </c>
      <c r="G13">
        <f t="shared" si="6"/>
        <v>7.6335877862595417E-3</v>
      </c>
    </row>
    <row r="14" spans="1:21" x14ac:dyDescent="0.35">
      <c r="A14">
        <f t="shared" si="0"/>
        <v>9</v>
      </c>
      <c r="B14">
        <f t="shared" si="1"/>
        <v>-1.0234375</v>
      </c>
      <c r="C14">
        <f t="shared" si="2"/>
        <v>-1.015625</v>
      </c>
      <c r="D14">
        <f t="shared" si="3"/>
        <v>-1.01953125</v>
      </c>
      <c r="E14">
        <f t="shared" si="4"/>
        <v>8.08666902066002E-3</v>
      </c>
      <c r="F14">
        <f t="shared" si="5"/>
        <v>-6.5568293152380441E-3</v>
      </c>
      <c r="G14">
        <f t="shared" si="6"/>
        <v>3.8314176245210726E-3</v>
      </c>
    </row>
    <row r="15" spans="1:21" x14ac:dyDescent="0.35">
      <c r="A15">
        <f t="shared" si="0"/>
        <v>10</v>
      </c>
      <c r="B15">
        <f t="shared" si="1"/>
        <v>-1.0234375</v>
      </c>
      <c r="C15">
        <f t="shared" si="2"/>
        <v>-1.01953125</v>
      </c>
      <c r="D15">
        <f t="shared" si="3"/>
        <v>-1.021484375</v>
      </c>
      <c r="E15">
        <f t="shared" si="4"/>
        <v>7.707262047973451E-4</v>
      </c>
      <c r="F15">
        <f t="shared" si="5"/>
        <v>-6.5568293152380441E-3</v>
      </c>
      <c r="G15">
        <f t="shared" si="6"/>
        <v>1.9120458891013384E-3</v>
      </c>
    </row>
    <row r="16" spans="1:21" x14ac:dyDescent="0.35">
      <c r="A16">
        <f t="shared" si="0"/>
        <v>11</v>
      </c>
      <c r="B16">
        <f t="shared" si="1"/>
        <v>-1.0234375</v>
      </c>
      <c r="C16">
        <f t="shared" si="2"/>
        <v>-1.021484375</v>
      </c>
      <c r="D16">
        <f t="shared" si="3"/>
        <v>-1.0224609375</v>
      </c>
      <c r="E16">
        <f t="shared" si="4"/>
        <v>-2.8916007616273109E-3</v>
      </c>
      <c r="F16">
        <f t="shared" si="5"/>
        <v>-6.5568293152380441E-3</v>
      </c>
      <c r="G16">
        <f t="shared" si="6"/>
        <v>9.5510983763132757E-4</v>
      </c>
    </row>
    <row r="17" spans="1:7" x14ac:dyDescent="0.35">
      <c r="A17">
        <f t="shared" si="0"/>
        <v>12</v>
      </c>
      <c r="B17">
        <f t="shared" si="1"/>
        <v>-1.0224609375</v>
      </c>
      <c r="C17">
        <f t="shared" si="2"/>
        <v>-1.021484375</v>
      </c>
      <c r="D17">
        <f t="shared" si="3"/>
        <v>-1.02197265625</v>
      </c>
      <c r="E17">
        <f t="shared" si="4"/>
        <v>-1.060074480676132E-3</v>
      </c>
      <c r="F17">
        <f t="shared" si="5"/>
        <v>-2.8916007616273109E-3</v>
      </c>
      <c r="G17">
        <f t="shared" si="6"/>
        <v>4.7778308647873863E-4</v>
      </c>
    </row>
    <row r="18" spans="1:7" x14ac:dyDescent="0.35">
      <c r="A18">
        <f t="shared" si="0"/>
        <v>13</v>
      </c>
      <c r="B18">
        <f t="shared" si="1"/>
        <v>-1.02197265625</v>
      </c>
      <c r="C18">
        <f t="shared" si="2"/>
        <v>-1.021484375</v>
      </c>
      <c r="D18">
        <f t="shared" si="3"/>
        <v>-1.021728515625</v>
      </c>
      <c r="E18">
        <f t="shared" si="4"/>
        <v>-1.445834260902501E-4</v>
      </c>
      <c r="F18">
        <f t="shared" si="5"/>
        <v>-1.060074480676132E-3</v>
      </c>
      <c r="G18">
        <f t="shared" si="6"/>
        <v>2.3894862604540023E-4</v>
      </c>
    </row>
    <row r="19" spans="1:7" x14ac:dyDescent="0.35">
      <c r="A19">
        <f t="shared" si="0"/>
        <v>14</v>
      </c>
      <c r="B19">
        <f t="shared" si="1"/>
        <v>-1.021728515625</v>
      </c>
      <c r="C19">
        <f t="shared" si="2"/>
        <v>-1.021484375</v>
      </c>
      <c r="D19">
        <f t="shared" si="3"/>
        <v>-1.0216064453125</v>
      </c>
      <c r="E19">
        <f t="shared" si="4"/>
        <v>3.1309406886737001E-4</v>
      </c>
      <c r="F19">
        <f t="shared" si="5"/>
        <v>-1.445834260902501E-4</v>
      </c>
      <c r="G19">
        <f t="shared" si="6"/>
        <v>1.194885888397658E-4</v>
      </c>
    </row>
    <row r="20" spans="1:7" x14ac:dyDescent="0.35">
      <c r="A20">
        <f t="shared" si="0"/>
        <v>15</v>
      </c>
      <c r="B20">
        <f t="shared" si="1"/>
        <v>-1.021728515625</v>
      </c>
      <c r="C20">
        <f t="shared" si="2"/>
        <v>-1.0216064453125</v>
      </c>
      <c r="D20">
        <f t="shared" si="3"/>
        <v>-1.02166748046875</v>
      </c>
      <c r="E20">
        <f t="shared" si="4"/>
        <v>8.4260991072948599E-5</v>
      </c>
      <c r="F20">
        <f t="shared" si="5"/>
        <v>-1.445834260902501E-4</v>
      </c>
      <c r="G20">
        <f t="shared" si="6"/>
        <v>5.9740725252404567E-5</v>
      </c>
    </row>
    <row r="21" spans="1:7" x14ac:dyDescent="0.35">
      <c r="A21">
        <f t="shared" si="0"/>
        <v>16</v>
      </c>
      <c r="B21">
        <f t="shared" si="1"/>
        <v>-1.021728515625</v>
      </c>
      <c r="C21">
        <f t="shared" si="2"/>
        <v>-1.02166748046875</v>
      </c>
      <c r="D21">
        <f t="shared" si="3"/>
        <v>-1.021697998046875</v>
      </c>
      <c r="E21">
        <f t="shared" si="4"/>
        <v>-3.0159800111784207E-5</v>
      </c>
      <c r="F21">
        <f t="shared" si="5"/>
        <v>-1.445834260902501E-4</v>
      </c>
      <c r="G21">
        <f t="shared" si="6"/>
        <v>2.9869470414289555E-5</v>
      </c>
    </row>
    <row r="22" spans="1:7" x14ac:dyDescent="0.35">
      <c r="A22">
        <f t="shared" si="0"/>
        <v>17</v>
      </c>
      <c r="B22">
        <f t="shared" si="1"/>
        <v>-1.021697998046875</v>
      </c>
      <c r="C22">
        <f t="shared" si="2"/>
        <v>-1.02166748046875</v>
      </c>
      <c r="D22">
        <f t="shared" si="3"/>
        <v>-1.0216827392578125</v>
      </c>
      <c r="E22">
        <f t="shared" si="4"/>
        <v>2.7050949832796434E-5</v>
      </c>
      <c r="F22">
        <f t="shared" si="5"/>
        <v>-3.0159800111784207E-5</v>
      </c>
      <c r="G22">
        <f t="shared" si="6"/>
        <v>1.4934958256791672E-5</v>
      </c>
    </row>
    <row r="23" spans="1:7" x14ac:dyDescent="0.35">
      <c r="A23">
        <f t="shared" si="0"/>
        <v>18</v>
      </c>
      <c r="B23">
        <f t="shared" si="1"/>
        <v>-1.021697998046875</v>
      </c>
      <c r="C23">
        <f t="shared" si="2"/>
        <v>-1.0216827392578125</v>
      </c>
      <c r="D23">
        <f t="shared" si="3"/>
        <v>-1.0216903686523438</v>
      </c>
      <c r="E23">
        <f t="shared" si="4"/>
        <v>-1.5543365516901275E-6</v>
      </c>
      <c r="F23">
        <f t="shared" si="5"/>
        <v>-3.0159800111784207E-5</v>
      </c>
      <c r="G23">
        <f t="shared" si="6"/>
        <v>7.4674233655677109E-6</v>
      </c>
    </row>
    <row r="24" spans="1:7" x14ac:dyDescent="0.35">
      <c r="A24">
        <f t="shared" si="0"/>
        <v>19</v>
      </c>
      <c r="B24">
        <f t="shared" si="1"/>
        <v>-1.0216903686523438</v>
      </c>
      <c r="C24">
        <f t="shared" si="2"/>
        <v>-1.0216827392578125</v>
      </c>
      <c r="D24">
        <f t="shared" si="3"/>
        <v>-1.0216865539550781</v>
      </c>
      <c r="E24">
        <f t="shared" si="4"/>
        <v>1.2748328787504093E-5</v>
      </c>
      <c r="F24">
        <f t="shared" si="5"/>
        <v>-1.5543365516901275E-6</v>
      </c>
      <c r="G24">
        <f t="shared" si="6"/>
        <v>3.7337256234388361E-6</v>
      </c>
    </row>
    <row r="25" spans="1:7" x14ac:dyDescent="0.35">
      <c r="A25">
        <f t="shared" si="0"/>
        <v>20</v>
      </c>
      <c r="B25">
        <f t="shared" si="1"/>
        <v>-1.0216903686523438</v>
      </c>
      <c r="C25">
        <f t="shared" si="2"/>
        <v>-1.0216865539550781</v>
      </c>
      <c r="D25">
        <f t="shared" si="3"/>
        <v>-1.0216884613037109</v>
      </c>
      <c r="E25">
        <f t="shared" si="4"/>
        <v>5.5970016545892065E-6</v>
      </c>
      <c r="F25">
        <f t="shared" si="5"/>
        <v>-1.5543365516901275E-6</v>
      </c>
      <c r="G25">
        <f t="shared" si="6"/>
        <v>1.8668593265491665E-6</v>
      </c>
    </row>
    <row r="26" spans="1:7" x14ac:dyDescent="0.35">
      <c r="A26" s="2">
        <f t="shared" si="0"/>
        <v>21</v>
      </c>
      <c r="B26" s="2">
        <f t="shared" si="1"/>
        <v>-1.0216903686523438</v>
      </c>
      <c r="C26" s="2">
        <f t="shared" si="2"/>
        <v>-1.0216884613037109</v>
      </c>
      <c r="D26" s="1">
        <f t="shared" si="3"/>
        <v>-1.0216894149780273</v>
      </c>
      <c r="E26" s="2">
        <f t="shared" si="4"/>
        <v>2.0213339355645843E-6</v>
      </c>
      <c r="F26" s="2">
        <f t="shared" si="5"/>
        <v>-1.5543365516901275E-6</v>
      </c>
      <c r="G26" s="3">
        <f t="shared" si="6"/>
        <v>9.3342879198446031E-7</v>
      </c>
    </row>
    <row r="27" spans="1:7" x14ac:dyDescent="0.35">
      <c r="A27">
        <f t="shared" si="0"/>
        <v>22</v>
      </c>
      <c r="B27">
        <f t="shared" si="1"/>
        <v>-1.0216903686523438</v>
      </c>
      <c r="C27">
        <f t="shared" si="2"/>
        <v>-1.0216894149780273</v>
      </c>
      <c r="D27">
        <f t="shared" si="3"/>
        <v>-1.0216898918151855</v>
      </c>
      <c r="E27">
        <f t="shared" si="4"/>
        <v>2.3349903788272286E-7</v>
      </c>
      <c r="F27">
        <f t="shared" si="5"/>
        <v>-1.5543365516901275E-6</v>
      </c>
      <c r="G27">
        <f t="shared" si="6"/>
        <v>4.6671417817000437E-7</v>
      </c>
    </row>
    <row r="28" spans="1:7" x14ac:dyDescent="0.35">
      <c r="A28">
        <f t="shared" si="0"/>
        <v>23</v>
      </c>
      <c r="B28">
        <f t="shared" si="1"/>
        <v>-1.0216903686523438</v>
      </c>
      <c r="C28">
        <f t="shared" si="2"/>
        <v>-1.0216898918151855</v>
      </c>
      <c r="D28">
        <f t="shared" si="3"/>
        <v>-1.0216901302337646</v>
      </c>
      <c r="E28">
        <f t="shared" si="4"/>
        <v>-6.6041867041732871E-7</v>
      </c>
      <c r="F28">
        <f t="shared" si="5"/>
        <v>-1.5543365516901275E-6</v>
      </c>
      <c r="G28">
        <f t="shared" si="6"/>
        <v>2.3335703462948387E-7</v>
      </c>
    </row>
    <row r="29" spans="1:7" x14ac:dyDescent="0.35">
      <c r="A29">
        <f t="shared" si="0"/>
        <v>24</v>
      </c>
      <c r="B29">
        <f t="shared" si="1"/>
        <v>-1.0216901302337646</v>
      </c>
      <c r="C29">
        <f t="shared" si="2"/>
        <v>-1.0216898918151855</v>
      </c>
      <c r="D29">
        <f t="shared" si="3"/>
        <v>-1.0216900110244751</v>
      </c>
      <c r="E29">
        <f t="shared" si="4"/>
        <v>-2.1345979450693164E-7</v>
      </c>
      <c r="F29">
        <f t="shared" si="5"/>
        <v>-6.6041867041732871E-7</v>
      </c>
      <c r="G29">
        <f t="shared" si="6"/>
        <v>1.1667853092861993E-7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49FE-AF67-4114-8EAF-E0D5D4130FD0}">
  <dimension ref="A1:I25"/>
  <sheetViews>
    <sheetView tabSelected="1" zoomScale="130" workbookViewId="0">
      <selection activeCell="I8" sqref="I8"/>
    </sheetView>
  </sheetViews>
  <sheetFormatPr baseColWidth="10" defaultRowHeight="14.5" x14ac:dyDescent="0.35"/>
  <sheetData>
    <row r="1" spans="1:9" x14ac:dyDescent="0.35">
      <c r="H1" t="s">
        <v>13</v>
      </c>
      <c r="I1" t="s">
        <v>14</v>
      </c>
    </row>
    <row r="2" spans="1:9" x14ac:dyDescent="0.35">
      <c r="H2">
        <v>-2</v>
      </c>
      <c r="I2">
        <v>-1</v>
      </c>
    </row>
    <row r="5" spans="1:9" x14ac:dyDescent="0.35">
      <c r="A5" t="s">
        <v>3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7</v>
      </c>
    </row>
    <row r="6" spans="1:9" x14ac:dyDescent="0.35">
      <c r="A6">
        <v>1</v>
      </c>
      <c r="B6">
        <v>-2</v>
      </c>
      <c r="C6">
        <v>-1</v>
      </c>
      <c r="D6">
        <f>2*COS(B6)-(B6 ^2)</f>
        <v>-4.8322936730942851</v>
      </c>
      <c r="E6">
        <f>2*COS(C6)-(C6^2)</f>
        <v>8.060461173627953E-2</v>
      </c>
      <c r="F6">
        <f>C6-(E6*(C6-B6))/(E6-D6)</f>
        <v>-1.0164067332688651</v>
      </c>
    </row>
    <row r="7" spans="1:9" x14ac:dyDescent="0.35">
      <c r="A7">
        <f>A6+1</f>
        <v>2</v>
      </c>
      <c r="B7">
        <f>C6</f>
        <v>-1</v>
      </c>
      <c r="C7">
        <f>F6</f>
        <v>-1.0164067332688651</v>
      </c>
      <c r="D7">
        <f>2*COS(B7)-(B7^2)</f>
        <v>8.060461173627953E-2</v>
      </c>
      <c r="E7">
        <f>2*COS(C7)-(C7^2)</f>
        <v>1.9766187237817423E-2</v>
      </c>
      <c r="F7">
        <f>C7-(E7*(C7-B7))/(E7-D7)</f>
        <v>-1.0217372224198706</v>
      </c>
      <c r="G7">
        <f>ABS((C7-B7)/C7)</f>
        <v>1.614189746274055E-2</v>
      </c>
      <c r="I7" t="s">
        <v>19</v>
      </c>
    </row>
    <row r="8" spans="1:9" x14ac:dyDescent="0.35">
      <c r="A8">
        <f t="shared" ref="A8:A25" si="0">A7+1</f>
        <v>3</v>
      </c>
      <c r="B8">
        <f t="shared" ref="B8:B25" si="1">C7</f>
        <v>-1.0164067332688651</v>
      </c>
      <c r="C8">
        <f t="shared" ref="C8:C25" si="2">F7</f>
        <v>-1.0217372224198706</v>
      </c>
      <c r="D8">
        <f t="shared" ref="D8:D25" si="3">2*COS(B8)-(B8^2)</f>
        <v>1.9766187237817423E-2</v>
      </c>
      <c r="E8">
        <f t="shared" ref="E8:E25" si="4">2*COS(C8)-(C8^2)</f>
        <v>-1.7722949313347947E-4</v>
      </c>
      <c r="F8">
        <f t="shared" ref="F8:F25" si="5">C8-(E8*(C8-B8))/(E8-D8)</f>
        <v>-1.0216898524078446</v>
      </c>
      <c r="G8">
        <f t="shared" ref="G8:G25" si="6">ABS((C8-B8)/C8)</f>
        <v>5.2170842306996177E-3</v>
      </c>
    </row>
    <row r="9" spans="1:9" x14ac:dyDescent="0.35">
      <c r="A9">
        <f t="shared" si="0"/>
        <v>4</v>
      </c>
      <c r="B9">
        <f t="shared" si="1"/>
        <v>-1.0217372224198706</v>
      </c>
      <c r="C9">
        <f t="shared" si="2"/>
        <v>-1.0216898524078446</v>
      </c>
      <c r="D9">
        <f t="shared" si="3"/>
        <v>-1.7722949313347947E-4</v>
      </c>
      <c r="E9">
        <f t="shared" si="4"/>
        <v>3.8125143242417892E-7</v>
      </c>
      <c r="F9">
        <f t="shared" si="5"/>
        <v>-1.0216899540902342</v>
      </c>
      <c r="G9">
        <f t="shared" si="6"/>
        <v>4.6364375563092505E-5</v>
      </c>
    </row>
    <row r="10" spans="1:9" x14ac:dyDescent="0.35">
      <c r="A10">
        <f t="shared" si="0"/>
        <v>5</v>
      </c>
      <c r="B10">
        <f t="shared" si="1"/>
        <v>-1.0216898524078446</v>
      </c>
      <c r="C10">
        <f t="shared" si="2"/>
        <v>-1.0216899540902342</v>
      </c>
      <c r="D10">
        <f t="shared" si="3"/>
        <v>3.8125143242417892E-7</v>
      </c>
      <c r="E10">
        <f t="shared" si="4"/>
        <v>7.3150374646502314E-12</v>
      </c>
      <c r="F10">
        <f t="shared" si="5"/>
        <v>-1.0216899540921853</v>
      </c>
      <c r="G10">
        <f t="shared" si="6"/>
        <v>9.9523724601880241E-8</v>
      </c>
    </row>
    <row r="11" spans="1:9" x14ac:dyDescent="0.35">
      <c r="A11">
        <f t="shared" si="0"/>
        <v>6</v>
      </c>
      <c r="B11">
        <f t="shared" si="1"/>
        <v>-1.0216899540902342</v>
      </c>
      <c r="C11" s="1">
        <f t="shared" si="2"/>
        <v>-1.0216899540921853</v>
      </c>
      <c r="D11">
        <f t="shared" si="3"/>
        <v>7.3150374646502314E-12</v>
      </c>
      <c r="E11">
        <f t="shared" si="4"/>
        <v>0</v>
      </c>
      <c r="F11">
        <f t="shared" si="5"/>
        <v>-1.0216899540921853</v>
      </c>
      <c r="G11">
        <f t="shared" si="6"/>
        <v>1.9096849642706823E-12</v>
      </c>
    </row>
    <row r="12" spans="1:9" x14ac:dyDescent="0.35">
      <c r="A12">
        <f t="shared" si="0"/>
        <v>7</v>
      </c>
      <c r="B12">
        <f t="shared" si="1"/>
        <v>-1.0216899540921853</v>
      </c>
      <c r="C12">
        <f t="shared" si="2"/>
        <v>-1.0216899540921853</v>
      </c>
      <c r="D12">
        <f t="shared" si="3"/>
        <v>0</v>
      </c>
      <c r="E12">
        <f t="shared" si="4"/>
        <v>0</v>
      </c>
      <c r="F12" t="e">
        <f t="shared" si="5"/>
        <v>#DIV/0!</v>
      </c>
      <c r="G12">
        <f t="shared" si="6"/>
        <v>0</v>
      </c>
    </row>
    <row r="13" spans="1:9" x14ac:dyDescent="0.35">
      <c r="A13">
        <f t="shared" si="0"/>
        <v>8</v>
      </c>
      <c r="B13">
        <f t="shared" si="1"/>
        <v>-1.0216899540921853</v>
      </c>
      <c r="C13" t="e">
        <f t="shared" si="2"/>
        <v>#DIV/0!</v>
      </c>
      <c r="D13">
        <f t="shared" si="3"/>
        <v>0</v>
      </c>
      <c r="E13" t="e">
        <f t="shared" si="4"/>
        <v>#DIV/0!</v>
      </c>
      <c r="F13" t="e">
        <f t="shared" si="5"/>
        <v>#DIV/0!</v>
      </c>
      <c r="G13" t="e">
        <f t="shared" si="6"/>
        <v>#DIV/0!</v>
      </c>
    </row>
    <row r="14" spans="1:9" x14ac:dyDescent="0.35">
      <c r="A14">
        <f t="shared" si="0"/>
        <v>9</v>
      </c>
      <c r="B14" t="e">
        <f t="shared" si="1"/>
        <v>#DIV/0!</v>
      </c>
      <c r="C14" t="e">
        <f t="shared" si="2"/>
        <v>#DIV/0!</v>
      </c>
      <c r="D14" t="e">
        <f t="shared" si="3"/>
        <v>#DIV/0!</v>
      </c>
      <c r="E14" t="e">
        <f t="shared" si="4"/>
        <v>#DIV/0!</v>
      </c>
      <c r="F14" t="e">
        <f t="shared" si="5"/>
        <v>#DIV/0!</v>
      </c>
      <c r="G14" t="e">
        <f t="shared" si="6"/>
        <v>#DIV/0!</v>
      </c>
    </row>
    <row r="15" spans="1:9" x14ac:dyDescent="0.35">
      <c r="A15">
        <f t="shared" si="0"/>
        <v>10</v>
      </c>
      <c r="B15" t="e">
        <f t="shared" si="1"/>
        <v>#DIV/0!</v>
      </c>
      <c r="C15" t="e">
        <f t="shared" si="2"/>
        <v>#DIV/0!</v>
      </c>
      <c r="D15" t="e">
        <f t="shared" si="3"/>
        <v>#DIV/0!</v>
      </c>
      <c r="E15" t="e">
        <f t="shared" si="4"/>
        <v>#DIV/0!</v>
      </c>
      <c r="F15" t="e">
        <f t="shared" si="5"/>
        <v>#DIV/0!</v>
      </c>
      <c r="G15" t="e">
        <f t="shared" si="6"/>
        <v>#DIV/0!</v>
      </c>
    </row>
    <row r="16" spans="1:9" x14ac:dyDescent="0.35">
      <c r="A16">
        <f t="shared" si="0"/>
        <v>11</v>
      </c>
      <c r="B16" t="e">
        <f t="shared" si="1"/>
        <v>#DIV/0!</v>
      </c>
      <c r="C16" t="e">
        <f t="shared" si="2"/>
        <v>#DIV/0!</v>
      </c>
      <c r="D16" t="e">
        <f t="shared" si="3"/>
        <v>#DIV/0!</v>
      </c>
      <c r="E16" t="e">
        <f t="shared" si="4"/>
        <v>#DIV/0!</v>
      </c>
      <c r="F16" t="e">
        <f t="shared" si="5"/>
        <v>#DIV/0!</v>
      </c>
      <c r="G16" t="e">
        <f t="shared" si="6"/>
        <v>#DIV/0!</v>
      </c>
    </row>
    <row r="17" spans="1:7" x14ac:dyDescent="0.35">
      <c r="A17">
        <f t="shared" si="0"/>
        <v>12</v>
      </c>
      <c r="B17" t="e">
        <f t="shared" si="1"/>
        <v>#DIV/0!</v>
      </c>
      <c r="C17" t="e">
        <f t="shared" si="2"/>
        <v>#DIV/0!</v>
      </c>
      <c r="D17" t="e">
        <f t="shared" si="3"/>
        <v>#DIV/0!</v>
      </c>
      <c r="E17" t="e">
        <f t="shared" si="4"/>
        <v>#DIV/0!</v>
      </c>
      <c r="F17" t="e">
        <f t="shared" si="5"/>
        <v>#DIV/0!</v>
      </c>
      <c r="G17" t="e">
        <f t="shared" si="6"/>
        <v>#DIV/0!</v>
      </c>
    </row>
    <row r="18" spans="1:7" x14ac:dyDescent="0.35">
      <c r="A18">
        <f t="shared" si="0"/>
        <v>13</v>
      </c>
      <c r="B18" t="e">
        <f t="shared" si="1"/>
        <v>#DIV/0!</v>
      </c>
      <c r="C18" t="e">
        <f t="shared" si="2"/>
        <v>#DIV/0!</v>
      </c>
      <c r="D18" t="e">
        <f t="shared" si="3"/>
        <v>#DIV/0!</v>
      </c>
      <c r="E18" t="e">
        <f t="shared" si="4"/>
        <v>#DIV/0!</v>
      </c>
      <c r="F18" t="e">
        <f t="shared" si="5"/>
        <v>#DIV/0!</v>
      </c>
      <c r="G18" t="e">
        <f t="shared" si="6"/>
        <v>#DIV/0!</v>
      </c>
    </row>
    <row r="19" spans="1:7" x14ac:dyDescent="0.35">
      <c r="A19">
        <f t="shared" si="0"/>
        <v>14</v>
      </c>
      <c r="B19" t="e">
        <f t="shared" si="1"/>
        <v>#DIV/0!</v>
      </c>
      <c r="C19" t="e">
        <f t="shared" si="2"/>
        <v>#DIV/0!</v>
      </c>
      <c r="D19" t="e">
        <f t="shared" si="3"/>
        <v>#DIV/0!</v>
      </c>
      <c r="E19" t="e">
        <f t="shared" si="4"/>
        <v>#DIV/0!</v>
      </c>
      <c r="F19" t="e">
        <f t="shared" si="5"/>
        <v>#DIV/0!</v>
      </c>
      <c r="G19" t="e">
        <f t="shared" si="6"/>
        <v>#DIV/0!</v>
      </c>
    </row>
    <row r="20" spans="1:7" x14ac:dyDescent="0.35">
      <c r="A20">
        <f t="shared" si="0"/>
        <v>15</v>
      </c>
      <c r="B20" t="e">
        <f t="shared" si="1"/>
        <v>#DIV/0!</v>
      </c>
      <c r="C20" t="e">
        <f t="shared" si="2"/>
        <v>#DIV/0!</v>
      </c>
      <c r="D20" t="e">
        <f t="shared" si="3"/>
        <v>#DIV/0!</v>
      </c>
      <c r="E20" t="e">
        <f t="shared" si="4"/>
        <v>#DIV/0!</v>
      </c>
      <c r="F20" t="e">
        <f t="shared" si="5"/>
        <v>#DIV/0!</v>
      </c>
      <c r="G20" t="e">
        <f t="shared" si="6"/>
        <v>#DIV/0!</v>
      </c>
    </row>
    <row r="21" spans="1:7" x14ac:dyDescent="0.35">
      <c r="A21">
        <f t="shared" si="0"/>
        <v>16</v>
      </c>
      <c r="B21" t="e">
        <f t="shared" si="1"/>
        <v>#DIV/0!</v>
      </c>
      <c r="C21" t="e">
        <f t="shared" si="2"/>
        <v>#DIV/0!</v>
      </c>
      <c r="D21" t="e">
        <f t="shared" si="3"/>
        <v>#DIV/0!</v>
      </c>
      <c r="E21" t="e">
        <f t="shared" si="4"/>
        <v>#DIV/0!</v>
      </c>
      <c r="F21" t="e">
        <f t="shared" si="5"/>
        <v>#DIV/0!</v>
      </c>
      <c r="G21" t="e">
        <f t="shared" si="6"/>
        <v>#DIV/0!</v>
      </c>
    </row>
    <row r="22" spans="1:7" x14ac:dyDescent="0.35">
      <c r="A22">
        <f t="shared" si="0"/>
        <v>17</v>
      </c>
      <c r="B22" t="e">
        <f t="shared" si="1"/>
        <v>#DIV/0!</v>
      </c>
      <c r="C22" t="e">
        <f t="shared" si="2"/>
        <v>#DIV/0!</v>
      </c>
      <c r="D22" t="e">
        <f t="shared" si="3"/>
        <v>#DIV/0!</v>
      </c>
      <c r="E22" t="e">
        <f t="shared" si="4"/>
        <v>#DIV/0!</v>
      </c>
      <c r="F22" t="e">
        <f t="shared" si="5"/>
        <v>#DIV/0!</v>
      </c>
      <c r="G22" t="e">
        <f t="shared" si="6"/>
        <v>#DIV/0!</v>
      </c>
    </row>
    <row r="23" spans="1:7" x14ac:dyDescent="0.35">
      <c r="A23">
        <f t="shared" si="0"/>
        <v>18</v>
      </c>
      <c r="B23" t="e">
        <f t="shared" si="1"/>
        <v>#DIV/0!</v>
      </c>
      <c r="C23" t="e">
        <f t="shared" si="2"/>
        <v>#DIV/0!</v>
      </c>
      <c r="D23" t="e">
        <f t="shared" si="3"/>
        <v>#DIV/0!</v>
      </c>
      <c r="E23" t="e">
        <f t="shared" si="4"/>
        <v>#DIV/0!</v>
      </c>
      <c r="F23" t="e">
        <f t="shared" si="5"/>
        <v>#DIV/0!</v>
      </c>
      <c r="G23" t="e">
        <f t="shared" si="6"/>
        <v>#DIV/0!</v>
      </c>
    </row>
    <row r="24" spans="1:7" x14ac:dyDescent="0.35">
      <c r="A24">
        <f t="shared" si="0"/>
        <v>19</v>
      </c>
      <c r="B24" t="e">
        <f t="shared" si="1"/>
        <v>#DIV/0!</v>
      </c>
      <c r="C24" t="e">
        <f t="shared" si="2"/>
        <v>#DIV/0!</v>
      </c>
      <c r="D24" t="e">
        <f t="shared" si="3"/>
        <v>#DIV/0!</v>
      </c>
      <c r="E24" t="e">
        <f t="shared" si="4"/>
        <v>#DIV/0!</v>
      </c>
      <c r="F24" t="e">
        <f t="shared" si="5"/>
        <v>#DIV/0!</v>
      </c>
      <c r="G24" t="e">
        <f t="shared" si="6"/>
        <v>#DIV/0!</v>
      </c>
    </row>
    <row r="25" spans="1:7" x14ac:dyDescent="0.35">
      <c r="A25">
        <f t="shared" si="0"/>
        <v>20</v>
      </c>
      <c r="B25" t="e">
        <f t="shared" si="1"/>
        <v>#DIV/0!</v>
      </c>
      <c r="C25" t="e">
        <f t="shared" si="2"/>
        <v>#DIV/0!</v>
      </c>
      <c r="D25" t="e">
        <f t="shared" si="3"/>
        <v>#DIV/0!</v>
      </c>
      <c r="E25" t="e">
        <f t="shared" si="4"/>
        <v>#DIV/0!</v>
      </c>
      <c r="F25" t="e">
        <f t="shared" si="5"/>
        <v>#DIV/0!</v>
      </c>
      <c r="G25" t="e">
        <f t="shared" si="6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0DF2-DDAF-416C-BFC1-21621713ACD3}">
  <dimension ref="A1:L10"/>
  <sheetViews>
    <sheetView workbookViewId="0">
      <selection activeCell="L13" sqref="L13"/>
    </sheetView>
  </sheetViews>
  <sheetFormatPr baseColWidth="10" defaultRowHeight="14.5" x14ac:dyDescent="0.35"/>
  <cols>
    <col min="12" max="12" width="29.26953125" customWidth="1"/>
  </cols>
  <sheetData>
    <row r="1" spans="1:12" x14ac:dyDescent="0.35">
      <c r="A1" t="s">
        <v>16</v>
      </c>
      <c r="B1" t="s">
        <v>17</v>
      </c>
    </row>
    <row r="2" spans="1:12" x14ac:dyDescent="0.35">
      <c r="A2">
        <v>-2</v>
      </c>
      <c r="B2">
        <f>2*COS(A2)-(A2^2)</f>
        <v>-4.8322936730942851</v>
      </c>
    </row>
    <row r="3" spans="1:12" x14ac:dyDescent="0.35">
      <c r="A3">
        <f>A2+0.1</f>
        <v>-1.9</v>
      </c>
      <c r="B3">
        <f t="shared" ref="B3:B10" si="0">2*COS(A3)-(A3^2)</f>
        <v>-4.2565791337270067</v>
      </c>
    </row>
    <row r="4" spans="1:12" x14ac:dyDescent="0.35">
      <c r="A4">
        <v>-1</v>
      </c>
      <c r="B4">
        <f t="shared" si="0"/>
        <v>8.060461173627953E-2</v>
      </c>
    </row>
    <row r="5" spans="1:12" x14ac:dyDescent="0.35">
      <c r="A5">
        <f t="shared" ref="A5:A11" si="1">A4+0.1</f>
        <v>-0.9</v>
      </c>
      <c r="B5">
        <f t="shared" si="0"/>
        <v>0.43321993654132873</v>
      </c>
    </row>
    <row r="6" spans="1:12" x14ac:dyDescent="0.35">
      <c r="A6">
        <v>0</v>
      </c>
      <c r="B6">
        <f t="shared" si="0"/>
        <v>2</v>
      </c>
    </row>
    <row r="7" spans="1:12" x14ac:dyDescent="0.35">
      <c r="A7">
        <f t="shared" ref="A7:A11" si="2">A6+0.1</f>
        <v>0.1</v>
      </c>
      <c r="B7">
        <f t="shared" si="0"/>
        <v>1.9800083305560516</v>
      </c>
    </row>
    <row r="8" spans="1:12" x14ac:dyDescent="0.35">
      <c r="A8">
        <v>1</v>
      </c>
      <c r="B8">
        <f t="shared" si="0"/>
        <v>8.060461173627953E-2</v>
      </c>
    </row>
    <row r="9" spans="1:12" x14ac:dyDescent="0.35">
      <c r="A9">
        <f t="shared" ref="A9:A11" si="3">A8+0.1</f>
        <v>1.1000000000000001</v>
      </c>
      <c r="B9">
        <f t="shared" si="0"/>
        <v>-0.30280775714884556</v>
      </c>
      <c r="L9" t="s">
        <v>18</v>
      </c>
    </row>
    <row r="10" spans="1:12" x14ac:dyDescent="0.35">
      <c r="A10">
        <v>2</v>
      </c>
      <c r="B10">
        <f t="shared" si="0"/>
        <v>-4.8322936730942851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BISECIION </vt:lpstr>
      <vt:lpstr>SECANTE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 cristian</dc:creator>
  <cp:lastModifiedBy>avila cristian</cp:lastModifiedBy>
  <dcterms:created xsi:type="dcterms:W3CDTF">2026-02-24T16:31:42Z</dcterms:created>
  <dcterms:modified xsi:type="dcterms:W3CDTF">2026-02-24T17:41:29Z</dcterms:modified>
</cp:coreProperties>
</file>