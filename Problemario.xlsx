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na\Downloads\"/>
    </mc:Choice>
  </mc:AlternateContent>
  <xr:revisionPtr revIDLastSave="0" documentId="8_{3F5107B7-4A3A-449C-BF68-9F65D7F2EE2E}" xr6:coauthVersionLast="47" xr6:coauthVersionMax="47" xr10:uidLastSave="{00000000-0000-0000-0000-000000000000}"/>
  <bookViews>
    <workbookView xWindow="-120" yWindow="-120" windowWidth="29040" windowHeight="16440" activeTab="3" xr2:uid="{661808B4-ABFC-4081-96C6-D780C25BB55A}"/>
  </bookViews>
  <sheets>
    <sheet name="Inicio" sheetId="1" r:id="rId1"/>
    <sheet name="Secante" sheetId="2" r:id="rId2"/>
    <sheet name="Biseccion" sheetId="3" r:id="rId3"/>
    <sheet name="Falsa posicion" sheetId="4" r:id="rId4"/>
    <sheet name="Metodo de Newto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2" l="1"/>
  <c r="E12" i="2"/>
  <c r="A13" i="2"/>
  <c r="B13" i="2"/>
  <c r="C13" i="2"/>
  <c r="D13" i="2"/>
  <c r="E13" i="2"/>
  <c r="A14" i="2"/>
  <c r="B14" i="2"/>
  <c r="C14" i="2"/>
  <c r="D14" i="2"/>
  <c r="E14" i="2"/>
  <c r="A15" i="2"/>
  <c r="B15" i="2"/>
  <c r="C15" i="2"/>
  <c r="D15" i="2"/>
  <c r="E15" i="2"/>
  <c r="A16" i="2"/>
  <c r="B16" i="2"/>
  <c r="C16" i="2"/>
  <c r="D16" i="2"/>
  <c r="E16" i="2"/>
  <c r="A17" i="2"/>
  <c r="B17" i="2"/>
  <c r="C17" i="2"/>
  <c r="D17" i="2"/>
  <c r="E17" i="2"/>
  <c r="A18" i="2"/>
  <c r="B18" i="2"/>
  <c r="C18" i="2"/>
  <c r="D18" i="2"/>
  <c r="E18" i="2"/>
  <c r="A19" i="2"/>
  <c r="B19" i="2"/>
  <c r="C19" i="2"/>
  <c r="D19" i="2"/>
  <c r="E19" i="2"/>
  <c r="A20" i="2"/>
  <c r="B20" i="2"/>
  <c r="C20" i="2"/>
  <c r="D20" i="2"/>
  <c r="E20" i="2"/>
  <c r="A21" i="2"/>
  <c r="B21" i="2"/>
  <c r="C21" i="2"/>
  <c r="D21" i="2"/>
  <c r="E21" i="2"/>
  <c r="K3" i="2"/>
  <c r="N2" i="2"/>
  <c r="M2" i="2"/>
  <c r="O2" i="2" s="1"/>
  <c r="C6" i="5"/>
  <c r="D6" i="5"/>
  <c r="E6" i="5"/>
  <c r="I6" i="5"/>
  <c r="J6" i="5"/>
  <c r="K6" i="5"/>
  <c r="L6" i="5"/>
  <c r="B7" i="5"/>
  <c r="C7" i="5"/>
  <c r="D7" i="5"/>
  <c r="E7" i="5"/>
  <c r="H7" i="5"/>
  <c r="I7" i="5"/>
  <c r="J7" i="5"/>
  <c r="K7" i="5"/>
  <c r="L7" i="5"/>
  <c r="B8" i="5"/>
  <c r="C8" i="5"/>
  <c r="D8" i="5"/>
  <c r="E8" i="5"/>
  <c r="H8" i="5"/>
  <c r="I8" i="5"/>
  <c r="J8" i="5"/>
  <c r="K8" i="5"/>
  <c r="L8" i="5"/>
  <c r="B9" i="5"/>
  <c r="C9" i="5"/>
  <c r="D9" i="5"/>
  <c r="E9" i="5"/>
  <c r="H9" i="5"/>
  <c r="I9" i="5"/>
  <c r="J9" i="5"/>
  <c r="K9" i="5"/>
  <c r="L9" i="5"/>
  <c r="B10" i="5"/>
  <c r="C10" i="5"/>
  <c r="D10" i="5"/>
  <c r="E10" i="5"/>
  <c r="H10" i="5"/>
  <c r="I10" i="5"/>
  <c r="J10" i="5"/>
  <c r="K10" i="5"/>
  <c r="L10" i="5"/>
  <c r="C18" i="5"/>
  <c r="D18" i="5"/>
  <c r="E18" i="5"/>
  <c r="I18" i="5"/>
  <c r="J18" i="5"/>
  <c r="K18" i="5"/>
  <c r="L18" i="5"/>
  <c r="B19" i="5"/>
  <c r="C19" i="5"/>
  <c r="D19" i="5"/>
  <c r="E19" i="5"/>
  <c r="H19" i="5"/>
  <c r="I19" i="5"/>
  <c r="J19" i="5"/>
  <c r="K19" i="5"/>
  <c r="L19" i="5"/>
  <c r="B20" i="5"/>
  <c r="C20" i="5"/>
  <c r="D20" i="5"/>
  <c r="E20" i="5"/>
  <c r="H20" i="5"/>
  <c r="I20" i="5"/>
  <c r="J20" i="5"/>
  <c r="K20" i="5"/>
  <c r="L20" i="5"/>
  <c r="B21" i="5"/>
  <c r="C21" i="5"/>
  <c r="D21" i="5"/>
  <c r="E21" i="5"/>
  <c r="H21" i="5"/>
  <c r="I21" i="5"/>
  <c r="J21" i="5"/>
  <c r="K21" i="5"/>
  <c r="L21" i="5"/>
  <c r="B22" i="5"/>
  <c r="C22" i="5"/>
  <c r="D22" i="5"/>
  <c r="E22" i="5"/>
  <c r="H22" i="5"/>
  <c r="I22" i="5"/>
  <c r="J22" i="5"/>
  <c r="K22" i="5"/>
  <c r="L22" i="5"/>
  <c r="C29" i="5"/>
  <c r="D29" i="5"/>
  <c r="E29" i="5"/>
  <c r="I29" i="5"/>
  <c r="J29" i="5"/>
  <c r="K29" i="5"/>
  <c r="L29" i="5"/>
  <c r="B30" i="5"/>
  <c r="C30" i="5"/>
  <c r="D30" i="5"/>
  <c r="E30" i="5"/>
  <c r="H30" i="5"/>
  <c r="I30" i="5"/>
  <c r="J30" i="5"/>
  <c r="K30" i="5"/>
  <c r="L30" i="5"/>
  <c r="B31" i="5"/>
  <c r="C31" i="5"/>
  <c r="D31" i="5"/>
  <c r="E31" i="5"/>
  <c r="H31" i="5"/>
  <c r="I31" i="5"/>
  <c r="J31" i="5"/>
  <c r="K31" i="5"/>
  <c r="L31" i="5"/>
  <c r="B32" i="5"/>
  <c r="C32" i="5"/>
  <c r="D32" i="5"/>
  <c r="E32" i="5"/>
  <c r="H32" i="5"/>
  <c r="I32" i="5"/>
  <c r="J32" i="5"/>
  <c r="K32" i="5"/>
  <c r="L32" i="5"/>
  <c r="B33" i="5"/>
  <c r="C33" i="5"/>
  <c r="D33" i="5"/>
  <c r="E33" i="5"/>
  <c r="H33" i="5"/>
  <c r="I33" i="5"/>
  <c r="J33" i="5"/>
  <c r="K33" i="5"/>
  <c r="L33" i="5"/>
  <c r="P3" i="2" l="1"/>
  <c r="L3" i="2"/>
  <c r="M3" i="2"/>
  <c r="D4" i="2"/>
  <c r="E3" i="2"/>
  <c r="C3" i="2"/>
  <c r="D3" i="2"/>
  <c r="R15" i="3"/>
  <c r="U3" i="3"/>
  <c r="P3" i="3"/>
  <c r="O3" i="3"/>
  <c r="T15" i="3"/>
  <c r="S15" i="3"/>
  <c r="Q15" i="3"/>
  <c r="Q3" i="3"/>
  <c r="R3" i="3"/>
  <c r="S3" i="3"/>
  <c r="T3" i="3"/>
  <c r="T2" i="3"/>
  <c r="S2" i="3"/>
  <c r="R2" i="3"/>
  <c r="Q2" i="3"/>
  <c r="B17" i="3"/>
  <c r="C17" i="3"/>
  <c r="D17" i="3"/>
  <c r="E17" i="3"/>
  <c r="F17" i="3"/>
  <c r="G17" i="3"/>
  <c r="H17" i="3"/>
  <c r="I17" i="3"/>
  <c r="B18" i="3"/>
  <c r="C18" i="3"/>
  <c r="D18" i="3"/>
  <c r="E18" i="3"/>
  <c r="F18" i="3"/>
  <c r="G18" i="3"/>
  <c r="H18" i="3"/>
  <c r="I18" i="3"/>
  <c r="B19" i="3"/>
  <c r="C19" i="3"/>
  <c r="D19" i="3"/>
  <c r="E19" i="3"/>
  <c r="F19" i="3"/>
  <c r="G19" i="3"/>
  <c r="H19" i="3"/>
  <c r="I19" i="3"/>
  <c r="B20" i="3"/>
  <c r="C20" i="3"/>
  <c r="D20" i="3"/>
  <c r="E20" i="3"/>
  <c r="F20" i="3"/>
  <c r="G20" i="3"/>
  <c r="H20" i="3"/>
  <c r="I20" i="3"/>
  <c r="B21" i="3"/>
  <c r="C21" i="3"/>
  <c r="D21" i="3"/>
  <c r="E21" i="3"/>
  <c r="F21" i="3"/>
  <c r="G21" i="3"/>
  <c r="H21" i="3"/>
  <c r="I21" i="3"/>
  <c r="B22" i="3"/>
  <c r="C22" i="3"/>
  <c r="D22" i="3"/>
  <c r="E22" i="3"/>
  <c r="F22" i="3"/>
  <c r="G22" i="3"/>
  <c r="H22" i="3"/>
  <c r="I22" i="3"/>
  <c r="B23" i="3"/>
  <c r="C23" i="3"/>
  <c r="D23" i="3"/>
  <c r="E23" i="3"/>
  <c r="F23" i="3"/>
  <c r="G23" i="3"/>
  <c r="H23" i="3"/>
  <c r="I23" i="3"/>
  <c r="B24" i="3"/>
  <c r="C24" i="3"/>
  <c r="D24" i="3"/>
  <c r="E24" i="3"/>
  <c r="F24" i="3"/>
  <c r="G24" i="3"/>
  <c r="H24" i="3"/>
  <c r="I24" i="3"/>
  <c r="B25" i="3"/>
  <c r="C25" i="3"/>
  <c r="D25" i="3"/>
  <c r="E25" i="3"/>
  <c r="F25" i="3"/>
  <c r="G25" i="3"/>
  <c r="H25" i="3"/>
  <c r="I25" i="3"/>
  <c r="B26" i="3"/>
  <c r="C26" i="3"/>
  <c r="D26" i="3"/>
  <c r="E26" i="3"/>
  <c r="F26" i="3"/>
  <c r="G26" i="3"/>
  <c r="H26" i="3"/>
  <c r="I26" i="3"/>
  <c r="I16" i="3"/>
  <c r="D16" i="3"/>
  <c r="E16" i="3"/>
  <c r="F16" i="3"/>
  <c r="G16" i="3"/>
  <c r="H16" i="3"/>
  <c r="B16" i="3"/>
  <c r="C16" i="3"/>
  <c r="H15" i="3"/>
  <c r="G15" i="3"/>
  <c r="D15" i="3"/>
  <c r="F15" i="3"/>
  <c r="E15" i="3"/>
  <c r="G2" i="3"/>
  <c r="E2" i="3"/>
  <c r="D2" i="3"/>
  <c r="F2" i="3" s="1"/>
  <c r="B4" i="2" l="1"/>
  <c r="K4" i="2"/>
  <c r="N3" i="2"/>
  <c r="O3" i="2" s="1"/>
  <c r="P16" i="3"/>
  <c r="S16" i="3" s="1"/>
  <c r="O16" i="3"/>
  <c r="R16" i="3" s="1"/>
  <c r="O4" i="3"/>
  <c r="P4" i="3"/>
  <c r="C3" i="3"/>
  <c r="B3" i="3"/>
  <c r="L4" i="2" l="1"/>
  <c r="P4" i="2"/>
  <c r="M4" i="2"/>
  <c r="D5" i="2"/>
  <c r="F4" i="2"/>
  <c r="C4" i="2"/>
  <c r="E4" i="2"/>
  <c r="Q16" i="3"/>
  <c r="U16" i="3" s="1"/>
  <c r="T16" i="3"/>
  <c r="Q4" i="3"/>
  <c r="R4" i="3"/>
  <c r="D3" i="3"/>
  <c r="F3" i="3" s="1"/>
  <c r="E3" i="3"/>
  <c r="G3" i="3"/>
  <c r="B5" i="2" l="1"/>
  <c r="K5" i="2"/>
  <c r="N4" i="2"/>
  <c r="O4" i="2" s="1"/>
  <c r="O17" i="3"/>
  <c r="P17" i="3"/>
  <c r="S17" i="3" s="1"/>
  <c r="S4" i="3"/>
  <c r="T4" i="3" s="1"/>
  <c r="U4" i="3"/>
  <c r="B4" i="3"/>
  <c r="E4" i="3" s="1"/>
  <c r="C4" i="3"/>
  <c r="L5" i="2" l="1"/>
  <c r="P5" i="2"/>
  <c r="M5" i="2"/>
  <c r="C5" i="2"/>
  <c r="E5" i="2"/>
  <c r="F5" i="2"/>
  <c r="B6" i="2"/>
  <c r="D6" i="2"/>
  <c r="Q17" i="3"/>
  <c r="U17" i="3" s="1"/>
  <c r="R17" i="3"/>
  <c r="T17" i="3" s="1"/>
  <c r="O5" i="3"/>
  <c r="P5" i="3"/>
  <c r="D4" i="3"/>
  <c r="F4" i="3" s="1"/>
  <c r="G4" i="3"/>
  <c r="B5" i="3"/>
  <c r="E5" i="3" s="1"/>
  <c r="C5" i="3"/>
  <c r="C6" i="2" l="1"/>
  <c r="E6" i="2"/>
  <c r="F6" i="2"/>
  <c r="B7" i="2"/>
  <c r="D7" i="2"/>
  <c r="N5" i="2"/>
  <c r="O5" i="2" s="1"/>
  <c r="K6" i="2"/>
  <c r="O18" i="3"/>
  <c r="P18" i="3"/>
  <c r="S18" i="3" s="1"/>
  <c r="Q5" i="3"/>
  <c r="R5" i="3"/>
  <c r="D5" i="3"/>
  <c r="F5" i="3" s="1"/>
  <c r="C6" i="3" s="1"/>
  <c r="G5" i="3"/>
  <c r="B6" i="3"/>
  <c r="M6" i="2" l="1"/>
  <c r="L6" i="2"/>
  <c r="P6" i="2"/>
  <c r="C7" i="2"/>
  <c r="E7" i="2"/>
  <c r="F7" i="2"/>
  <c r="B8" i="2"/>
  <c r="D8" i="2"/>
  <c r="Q18" i="3"/>
  <c r="U18" i="3" s="1"/>
  <c r="R18" i="3"/>
  <c r="T18" i="3" s="1"/>
  <c r="S5" i="3"/>
  <c r="T5" i="3" s="1"/>
  <c r="U5" i="3"/>
  <c r="D6" i="3"/>
  <c r="F6" i="3" s="1"/>
  <c r="E6" i="3"/>
  <c r="G6" i="3"/>
  <c r="C8" i="2" l="1"/>
  <c r="E8" i="2"/>
  <c r="F8" i="2"/>
  <c r="B9" i="2"/>
  <c r="D9" i="2"/>
  <c r="N6" i="2"/>
  <c r="K7" i="2"/>
  <c r="O6" i="2"/>
  <c r="O19" i="3"/>
  <c r="P19" i="3"/>
  <c r="S19" i="3" s="1"/>
  <c r="O6" i="3"/>
  <c r="P6" i="3"/>
  <c r="B7" i="3"/>
  <c r="C7" i="3"/>
  <c r="G7" i="3" s="1"/>
  <c r="L7" i="2" l="1"/>
  <c r="P7" i="2"/>
  <c r="M7" i="2"/>
  <c r="C9" i="2"/>
  <c r="E9" i="2"/>
  <c r="F9" i="2"/>
  <c r="Q19" i="3"/>
  <c r="U19" i="3" s="1"/>
  <c r="R19" i="3"/>
  <c r="T19" i="3" s="1"/>
  <c r="Q6" i="3"/>
  <c r="R6" i="3"/>
  <c r="D7" i="3"/>
  <c r="F7" i="3" s="1"/>
  <c r="E7" i="3"/>
  <c r="N7" i="2" l="1"/>
  <c r="O7" i="2" s="1"/>
  <c r="K8" i="2"/>
  <c r="O20" i="3"/>
  <c r="P20" i="3"/>
  <c r="S20" i="3" s="1"/>
  <c r="S6" i="3"/>
  <c r="T6" i="3" s="1"/>
  <c r="U6" i="3"/>
  <c r="B8" i="3"/>
  <c r="C8" i="3"/>
  <c r="G8" i="3" s="1"/>
  <c r="M8" i="2" l="1"/>
  <c r="L8" i="2"/>
  <c r="P8" i="2"/>
  <c r="Q20" i="3"/>
  <c r="U20" i="3" s="1"/>
  <c r="R20" i="3"/>
  <c r="T20" i="3" s="1"/>
  <c r="O7" i="3"/>
  <c r="P7" i="3"/>
  <c r="D8" i="3"/>
  <c r="F8" i="3" s="1"/>
  <c r="E8" i="3"/>
  <c r="N8" i="2" l="1"/>
  <c r="K9" i="2"/>
  <c r="O8" i="2"/>
  <c r="O21" i="3"/>
  <c r="P21" i="3"/>
  <c r="S21" i="3" s="1"/>
  <c r="Q7" i="3"/>
  <c r="R7" i="3"/>
  <c r="B9" i="3"/>
  <c r="E9" i="3" s="1"/>
  <c r="C9" i="3"/>
  <c r="L9" i="2" l="1"/>
  <c r="N9" i="2" s="1"/>
  <c r="P9" i="2"/>
  <c r="M9" i="2"/>
  <c r="O9" i="2"/>
  <c r="Q21" i="3"/>
  <c r="U21" i="3" s="1"/>
  <c r="R21" i="3"/>
  <c r="T21" i="3" s="1"/>
  <c r="S7" i="3"/>
  <c r="T7" i="3" s="1"/>
  <c r="U7" i="3"/>
  <c r="D9" i="3"/>
  <c r="F9" i="3" s="1"/>
  <c r="C10" i="3" s="1"/>
  <c r="G9" i="3"/>
  <c r="B10" i="3"/>
  <c r="O22" i="3" l="1"/>
  <c r="P22" i="3"/>
  <c r="S22" i="3" s="1"/>
  <c r="O8" i="3"/>
  <c r="P8" i="3"/>
  <c r="D10" i="3"/>
  <c r="F10" i="3" s="1"/>
  <c r="E10" i="3"/>
  <c r="G10" i="3"/>
  <c r="Q22" i="3" l="1"/>
  <c r="U22" i="3" s="1"/>
  <c r="R22" i="3"/>
  <c r="T22" i="3" s="1"/>
  <c r="Q8" i="3"/>
  <c r="R8" i="3"/>
  <c r="B11" i="3"/>
  <c r="C11" i="3"/>
  <c r="G11" i="3" s="1"/>
  <c r="O23" i="3" l="1"/>
  <c r="P23" i="3"/>
  <c r="S23" i="3" s="1"/>
  <c r="S8" i="3"/>
  <c r="T8" i="3" s="1"/>
  <c r="U8" i="3"/>
  <c r="D11" i="3"/>
  <c r="F11" i="3" s="1"/>
  <c r="E11" i="3"/>
  <c r="Q23" i="3" l="1"/>
  <c r="U23" i="3" s="1"/>
  <c r="R23" i="3"/>
  <c r="T23" i="3" s="1"/>
  <c r="O9" i="3"/>
  <c r="P9" i="3"/>
  <c r="B12" i="3"/>
  <c r="C12" i="3"/>
  <c r="G12" i="3" s="1"/>
  <c r="O24" i="3" l="1"/>
  <c r="P24" i="3"/>
  <c r="S24" i="3" s="1"/>
  <c r="Q9" i="3"/>
  <c r="R9" i="3"/>
  <c r="D12" i="3"/>
  <c r="F12" i="3" s="1"/>
  <c r="E12" i="3"/>
  <c r="Q24" i="3" l="1"/>
  <c r="U24" i="3" s="1"/>
  <c r="R24" i="3"/>
  <c r="T24" i="3" s="1"/>
  <c r="S9" i="3"/>
  <c r="T9" i="3" s="1"/>
  <c r="U9" i="3"/>
  <c r="O25" i="3" l="1"/>
  <c r="P25" i="3"/>
  <c r="S25" i="3" s="1"/>
  <c r="O10" i="3"/>
  <c r="P10" i="3"/>
  <c r="Q25" i="3" l="1"/>
  <c r="U25" i="3" s="1"/>
  <c r="R25" i="3"/>
  <c r="T25" i="3" s="1"/>
  <c r="Q10" i="3"/>
  <c r="R10" i="3"/>
  <c r="O26" i="3" l="1"/>
  <c r="P26" i="3"/>
  <c r="S26" i="3" s="1"/>
  <c r="S10" i="3"/>
  <c r="T10" i="3" s="1"/>
  <c r="U10" i="3"/>
  <c r="Q26" i="3" l="1"/>
  <c r="U26" i="3" s="1"/>
  <c r="R26" i="3"/>
  <c r="T26" i="3" s="1"/>
  <c r="O11" i="3"/>
  <c r="P11" i="3"/>
  <c r="Q11" i="3" l="1"/>
  <c r="R11" i="3"/>
  <c r="S11" i="3" l="1"/>
  <c r="T11" i="3" s="1"/>
  <c r="U11" i="3"/>
  <c r="O12" i="3" l="1"/>
  <c r="P12" i="3"/>
  <c r="Q12" i="3" l="1"/>
  <c r="R12" i="3"/>
  <c r="S12" i="3" l="1"/>
  <c r="T12" i="3" s="1"/>
  <c r="U12" i="3"/>
</calcChain>
</file>

<file path=xl/sharedStrings.xml><?xml version="1.0" encoding="utf-8"?>
<sst xmlns="http://schemas.openxmlformats.org/spreadsheetml/2006/main" count="146" uniqueCount="66">
  <si>
    <t>Funcion</t>
  </si>
  <si>
    <t>a</t>
  </si>
  <si>
    <t>b</t>
  </si>
  <si>
    <t>fa</t>
  </si>
  <si>
    <t>Iteraciones</t>
  </si>
  <si>
    <t>Error</t>
  </si>
  <si>
    <t>x^3-x-2</t>
  </si>
  <si>
    <t>RESPUESTA</t>
  </si>
  <si>
    <t xml:space="preserve"> </t>
  </si>
  <si>
    <t>fb</t>
  </si>
  <si>
    <t>y</t>
  </si>
  <si>
    <t>fy</t>
  </si>
  <si>
    <t>fa*fy</t>
  </si>
  <si>
    <t>x^3-x-8</t>
  </si>
  <si>
    <t>x^10-1</t>
  </si>
  <si>
    <t xml:space="preserve">Tolerancia </t>
  </si>
  <si>
    <t>Tolerancia</t>
  </si>
  <si>
    <t>Iteracion</t>
  </si>
  <si>
    <t>Lnx+x-3</t>
  </si>
  <si>
    <t>xi</t>
  </si>
  <si>
    <t>fxi</t>
  </si>
  <si>
    <t>fxi-1</t>
  </si>
  <si>
    <t>xi-xi-1</t>
  </si>
  <si>
    <t>e^(-x)-x</t>
  </si>
  <si>
    <t>RESULTADO</t>
  </si>
  <si>
    <t>Ea x1-x0/x1*100</t>
  </si>
  <si>
    <t>x1= x0 - f(x0)/f'(x0)</t>
  </si>
  <si>
    <t>f'(x0)</t>
  </si>
  <si>
    <t>f(x0)</t>
  </si>
  <si>
    <t>x0</t>
  </si>
  <si>
    <t xml:space="preserve">Item </t>
  </si>
  <si>
    <t>xn+1 = xn - f(x-n)/f'(xn)</t>
  </si>
  <si>
    <t>x(0)</t>
  </si>
  <si>
    <t>2x-2</t>
  </si>
  <si>
    <t xml:space="preserve">f'(x) </t>
  </si>
  <si>
    <t>x^2-2x-8</t>
  </si>
  <si>
    <t>F(x)</t>
  </si>
  <si>
    <t xml:space="preserve">2x </t>
  </si>
  <si>
    <t>x^2 - 2</t>
  </si>
  <si>
    <t>xn+1 = xn - f(xn)/f'(xn)</t>
  </si>
  <si>
    <t>F(x0)</t>
  </si>
  <si>
    <t>Item</t>
  </si>
  <si>
    <t>3x^2-1</t>
  </si>
  <si>
    <t>F'(x)</t>
  </si>
  <si>
    <t>x^3-x-1</t>
  </si>
  <si>
    <t xml:space="preserve">Iteraciones </t>
  </si>
  <si>
    <t>Xo</t>
  </si>
  <si>
    <t>Xi</t>
  </si>
  <si>
    <t>fXi</t>
  </si>
  <si>
    <t>fXo</t>
  </si>
  <si>
    <t>Formula</t>
  </si>
  <si>
    <t>x(n+1)</t>
  </si>
  <si>
    <t>x(n)</t>
  </si>
  <si>
    <t>x(n-1)</t>
  </si>
  <si>
    <t>Iteración</t>
  </si>
  <si>
    <t>Iter</t>
  </si>
  <si>
    <t>xl​</t>
  </si>
  <si>
    <t>xu​</t>
  </si>
  <si>
    <t>f(xl​)</t>
  </si>
  <si>
    <t>f(xu​)</t>
  </si>
  <si>
    <t>xr​</t>
  </si>
  <si>
    <t>f(xr​)</t>
  </si>
  <si>
    <t>Error (%)</t>
  </si>
  <si>
    <t>---</t>
  </si>
  <si>
    <t>f(x)</t>
  </si>
  <si>
    <t>cos(x) -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</si>
</sst>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/>
    <xf numFmtId="0" fontId="0" fillId="5" borderId="1" xfId="0" applyFill="1" applyBorder="1"/>
    <xf numFmtId="0" fontId="0" fillId="5" borderId="2" xfId="0" applyFill="1" applyBorder="1"/>
    <xf numFmtId="0" fontId="1" fillId="0" borderId="0" xfId="0" applyFont="1"/>
    <xf numFmtId="0" fontId="1" fillId="0" borderId="1" xfId="0" applyFont="1" applyBorder="1"/>
    <xf numFmtId="0" fontId="0" fillId="6" borderId="1" xfId="0" applyFill="1" applyBorder="1"/>
    <xf numFmtId="0" fontId="0" fillId="5" borderId="0" xfId="0" applyFill="1"/>
    <xf numFmtId="0" fontId="1" fillId="5" borderId="1" xfId="0" applyFont="1" applyFill="1" applyBorder="1"/>
    <xf numFmtId="0" fontId="2" fillId="0" borderId="3" xfId="0" applyFont="1" applyBorder="1" applyAlignment="1">
      <alignment vertical="center" wrapText="1" readingOrder="1"/>
    </xf>
    <xf numFmtId="0" fontId="3" fillId="0" borderId="3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Falsa posicion'!A1"/><Relationship Id="rId2" Type="http://schemas.openxmlformats.org/officeDocument/2006/relationships/hyperlink" Target="#'Metodo de Newton'!A1"/><Relationship Id="rId1" Type="http://schemas.openxmlformats.org/officeDocument/2006/relationships/hyperlink" Target="#Biseccion!A1"/><Relationship Id="rId4" Type="http://schemas.openxmlformats.org/officeDocument/2006/relationships/hyperlink" Target="#Secant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523875</xdr:colOff>
      <xdr:row>8</xdr:row>
      <xdr:rowOff>155331</xdr:rowOff>
    </xdr:from>
    <xdr:to>
      <xdr:col>5</xdr:col>
      <xdr:colOff>361950</xdr:colOff>
      <xdr:row>10</xdr:row>
      <xdr:rowOff>155331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4FCE09-EBC4-4EAE-BE5B-61E5D172EDEE}"/>
            </a:ext>
          </a:extLst>
        </xdr:cNvPr>
        <xdr:cNvSpPr/>
      </xdr:nvSpPr>
      <xdr:spPr>
        <a:xfrm>
          <a:off x="2809875" y="1679331"/>
          <a:ext cx="1362075" cy="381000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MX" sz="1100"/>
            <a:t>Biseccion</a:t>
          </a:r>
        </a:p>
      </xdr:txBody>
    </xdr:sp>
    <xdr:clientData/>
  </xdr:twoCellAnchor>
  <xdr:twoCellAnchor>
    <xdr:from>
      <xdr:col>2</xdr:col>
      <xdr:colOff>190500</xdr:colOff>
      <xdr:row>2</xdr:row>
      <xdr:rowOff>1</xdr:rowOff>
    </xdr:from>
    <xdr:to>
      <xdr:col>7</xdr:col>
      <xdr:colOff>219807</xdr:colOff>
      <xdr:row>4</xdr:row>
      <xdr:rowOff>65944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B776300-763E-4BF6-856D-46622926CB63}"/>
            </a:ext>
          </a:extLst>
        </xdr:cNvPr>
        <xdr:cNvSpPr txBox="1"/>
      </xdr:nvSpPr>
      <xdr:spPr>
        <a:xfrm>
          <a:off x="1714500" y="381001"/>
          <a:ext cx="3839307" cy="446943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2800">
              <a:latin typeface="Algerian" panose="04020705040A02060702" pitchFamily="82" charset="0"/>
            </a:rPr>
            <a:t>METODOS</a:t>
          </a:r>
          <a:r>
            <a:rPr lang="es-MX" sz="2800" baseline="0">
              <a:latin typeface="Algerian" panose="04020705040A02060702" pitchFamily="82" charset="0"/>
            </a:rPr>
            <a:t> NUMERICOS</a:t>
          </a:r>
          <a:endParaRPr lang="es-MX" sz="2800">
            <a:latin typeface="Algerian" panose="04020705040A02060702" pitchFamily="82" charset="0"/>
          </a:endParaRPr>
        </a:p>
      </xdr:txBody>
    </xdr:sp>
    <xdr:clientData/>
  </xdr:twoCellAnchor>
  <xdr:twoCellAnchor>
    <xdr:from>
      <xdr:col>3</xdr:col>
      <xdr:colOff>551717</xdr:colOff>
      <xdr:row>15</xdr:row>
      <xdr:rowOff>161193</xdr:rowOff>
    </xdr:from>
    <xdr:to>
      <xdr:col>5</xdr:col>
      <xdr:colOff>389792</xdr:colOff>
      <xdr:row>17</xdr:row>
      <xdr:rowOff>161193</xdr:rowOff>
    </xdr:to>
    <xdr:sp macro="" textlink="">
      <xdr:nvSpPr>
        <xdr:cNvPr id="4" name="Rectángulo: esquinas redondeada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41F09E-9660-415B-A697-7EEA7F75B336}"/>
            </a:ext>
          </a:extLst>
        </xdr:cNvPr>
        <xdr:cNvSpPr/>
      </xdr:nvSpPr>
      <xdr:spPr>
        <a:xfrm>
          <a:off x="2837717" y="3018693"/>
          <a:ext cx="1362075" cy="381000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MX" sz="1100"/>
            <a:t>Metodo</a:t>
          </a:r>
          <a:r>
            <a:rPr lang="es-MX" sz="1100" baseline="0"/>
            <a:t> de Newton</a:t>
          </a:r>
        </a:p>
        <a:p>
          <a:pPr algn="ctr"/>
          <a:endParaRPr lang="es-MX" sz="1100"/>
        </a:p>
      </xdr:txBody>
    </xdr:sp>
    <xdr:clientData/>
  </xdr:twoCellAnchor>
  <xdr:twoCellAnchor>
    <xdr:from>
      <xdr:col>3</xdr:col>
      <xdr:colOff>542924</xdr:colOff>
      <xdr:row>12</xdr:row>
      <xdr:rowOff>57150</xdr:rowOff>
    </xdr:from>
    <xdr:to>
      <xdr:col>5</xdr:col>
      <xdr:colOff>380999</xdr:colOff>
      <xdr:row>14</xdr:row>
      <xdr:rowOff>57150</xdr:rowOff>
    </xdr:to>
    <xdr:sp macro="" textlink="">
      <xdr:nvSpPr>
        <xdr:cNvPr id="5" name="Rectángulo: esquinas redondeada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E95D2D2-EBE7-4FB6-B0FA-85B83E5A8669}"/>
            </a:ext>
          </a:extLst>
        </xdr:cNvPr>
        <xdr:cNvSpPr/>
      </xdr:nvSpPr>
      <xdr:spPr>
        <a:xfrm>
          <a:off x="2828924" y="2343150"/>
          <a:ext cx="1362075" cy="381000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MX" sz="1100"/>
            <a:t>Falsa posicion</a:t>
          </a:r>
        </a:p>
      </xdr:txBody>
    </xdr:sp>
    <xdr:clientData/>
  </xdr:twoCellAnchor>
  <xdr:twoCellAnchor>
    <xdr:from>
      <xdr:col>3</xdr:col>
      <xdr:colOff>548787</xdr:colOff>
      <xdr:row>5</xdr:row>
      <xdr:rowOff>106973</xdr:rowOff>
    </xdr:from>
    <xdr:to>
      <xdr:col>5</xdr:col>
      <xdr:colOff>386862</xdr:colOff>
      <xdr:row>7</xdr:row>
      <xdr:rowOff>106973</xdr:rowOff>
    </xdr:to>
    <xdr:sp macro="" textlink="">
      <xdr:nvSpPr>
        <xdr:cNvPr id="6" name="Rectángulo: esquinas redondeada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704CEDF-12A4-42C1-86E6-AD5CEAEC2991}"/>
            </a:ext>
          </a:extLst>
        </xdr:cNvPr>
        <xdr:cNvSpPr/>
      </xdr:nvSpPr>
      <xdr:spPr>
        <a:xfrm>
          <a:off x="2834787" y="1059473"/>
          <a:ext cx="1362075" cy="381000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MX" sz="1100"/>
            <a:t>Secante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D5AB7-5A4D-4DE8-942A-55D6276C96A9}">
  <dimension ref="A1"/>
  <sheetViews>
    <sheetView zoomScale="145" zoomScaleNormal="145" workbookViewId="0">
      <selection activeCell="B18" sqref="B18"/>
    </sheetView>
  </sheetViews>
  <sheetFormatPr baseColWidth="10" defaultRowHeight="15" x14ac:dyDescent="0.25"/>
  <sheetData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17362-D667-4808-AA99-45AB5CF69124}">
  <dimension ref="A1:P21"/>
  <sheetViews>
    <sheetView workbookViewId="0">
      <selection activeCell="G19" sqref="G19"/>
    </sheetView>
  </sheetViews>
  <sheetFormatPr baseColWidth="10" defaultRowHeight="15" x14ac:dyDescent="0.25"/>
  <sheetData>
    <row r="1" spans="1:16" x14ac:dyDescent="0.25">
      <c r="A1" s="5" t="s">
        <v>17</v>
      </c>
      <c r="B1" s="5" t="s">
        <v>19</v>
      </c>
      <c r="C1" s="5" t="s">
        <v>20</v>
      </c>
      <c r="D1" s="5" t="s">
        <v>21</v>
      </c>
      <c r="E1" s="5" t="s">
        <v>22</v>
      </c>
      <c r="F1" s="6" t="s">
        <v>5</v>
      </c>
      <c r="G1" s="5" t="s">
        <v>0</v>
      </c>
      <c r="H1" s="1" t="s">
        <v>23</v>
      </c>
      <c r="J1" s="5" t="s">
        <v>45</v>
      </c>
      <c r="K1" s="5" t="s">
        <v>47</v>
      </c>
      <c r="L1" s="5" t="s">
        <v>46</v>
      </c>
      <c r="M1" s="5" t="s">
        <v>48</v>
      </c>
      <c r="N1" s="5" t="s">
        <v>49</v>
      </c>
      <c r="O1" s="5" t="s">
        <v>50</v>
      </c>
      <c r="P1" s="5" t="s">
        <v>5</v>
      </c>
    </row>
    <row r="2" spans="1:16" x14ac:dyDescent="0.25">
      <c r="A2" s="5">
        <v>1</v>
      </c>
      <c r="B2" s="1">
        <v>2</v>
      </c>
      <c r="C2" s="1"/>
      <c r="D2" s="1"/>
      <c r="E2" s="1"/>
      <c r="F2" s="1"/>
      <c r="G2" s="5"/>
      <c r="H2" s="1"/>
      <c r="J2" s="5">
        <v>1</v>
      </c>
      <c r="K2" s="1">
        <v>1</v>
      </c>
      <c r="L2" s="1">
        <v>2</v>
      </c>
      <c r="M2" s="1">
        <f>K2^3-K2-2</f>
        <v>-2</v>
      </c>
      <c r="N2" s="1">
        <f>L2^3-L2-2</f>
        <v>4</v>
      </c>
      <c r="O2" s="1">
        <f>K2-(M2*(K2-L2))/(K2-N2)</f>
        <v>1.6666666666666665</v>
      </c>
      <c r="P2" s="1"/>
    </row>
    <row r="3" spans="1:16" x14ac:dyDescent="0.25">
      <c r="A3" s="5">
        <v>2</v>
      </c>
      <c r="B3" s="1">
        <v>5</v>
      </c>
      <c r="C3" s="1">
        <f>EXP(-B3)-B3</f>
        <v>-4.9932620530009144</v>
      </c>
      <c r="D3" s="1">
        <f>EXP(-B2)-B2</f>
        <v>-1.8646647167633872</v>
      </c>
      <c r="E3" s="1">
        <f>B3-B2</f>
        <v>3</v>
      </c>
      <c r="F3" s="1"/>
      <c r="G3" s="5"/>
      <c r="H3" s="1"/>
      <c r="J3" s="5">
        <v>2</v>
      </c>
      <c r="K3" s="1">
        <f>L2</f>
        <v>2</v>
      </c>
      <c r="L3" s="1">
        <f>O2</f>
        <v>1.6666666666666665</v>
      </c>
      <c r="M3" s="1">
        <f>K3^3-K3-2</f>
        <v>4</v>
      </c>
      <c r="N3" s="1">
        <f>L3^3-L3-2</f>
        <v>0.96296296296296147</v>
      </c>
      <c r="O3" s="1">
        <f>K3-(M3*(K3-L3))/(K3-N3)</f>
        <v>0.71428571428571552</v>
      </c>
      <c r="P3" s="1">
        <f>ABS(O2-L2)</f>
        <v>0.33333333333333348</v>
      </c>
    </row>
    <row r="4" spans="1:16" x14ac:dyDescent="0.25">
      <c r="A4" s="5">
        <v>3</v>
      </c>
      <c r="B4" s="1">
        <f>B3-(C3*E3)/(C3-D3)</f>
        <v>0.21198014666293297</v>
      </c>
      <c r="C4" s="1">
        <f>EXP(-B4)-B4</f>
        <v>0.59700061171181273</v>
      </c>
      <c r="D4" s="1">
        <f>EXP(-B3)-B3</f>
        <v>-4.9932620530009144</v>
      </c>
      <c r="E4" s="1">
        <f>B4-B3</f>
        <v>-4.788019853337067</v>
      </c>
      <c r="F4" s="1">
        <f>ABS(B4-B3)/B4</f>
        <v>22.587114542148321</v>
      </c>
      <c r="G4" s="5"/>
      <c r="H4" s="1"/>
      <c r="J4" s="5">
        <v>3</v>
      </c>
      <c r="K4" s="1">
        <f>L3</f>
        <v>1.6666666666666665</v>
      </c>
      <c r="L4" s="1">
        <f>O3</f>
        <v>0.71428571428571552</v>
      </c>
      <c r="M4" s="1">
        <f>K4^3-K4-2</f>
        <v>0.96296296296296147</v>
      </c>
      <c r="N4" s="1">
        <f>L4^3-L4-2</f>
        <v>-2.3498542274052472</v>
      </c>
      <c r="O4" s="1">
        <f>K4-(M4*(K4-L4))/(K4-N4)</f>
        <v>1.4383328404620448</v>
      </c>
      <c r="P4" s="1">
        <f>ABS(O3-L3)</f>
        <v>0.952380952380951</v>
      </c>
    </row>
    <row r="5" spans="1:16" x14ac:dyDescent="0.25">
      <c r="A5" s="5">
        <v>4</v>
      </c>
      <c r="B5" s="1">
        <f t="shared" ref="B5:B9" si="0">B4-(C4*E4)/(C4-D4)</f>
        <v>0.72330688616908523</v>
      </c>
      <c r="C5" s="1">
        <f t="shared" ref="C5:C9" si="1">EXP(-B5)-B5</f>
        <v>-0.23816160600467956</v>
      </c>
      <c r="D5" s="1">
        <f t="shared" ref="D5:D9" si="2">EXP(-B4)-B4</f>
        <v>0.59700061171181273</v>
      </c>
      <c r="E5" s="1">
        <f t="shared" ref="E5:E9" si="3">B5-B4</f>
        <v>0.51132673950615226</v>
      </c>
      <c r="F5" s="1">
        <f t="shared" ref="F5:F9" si="4">ABS(B5-B4)/B5</f>
        <v>0.70692917388680987</v>
      </c>
      <c r="G5" s="5" t="s">
        <v>24</v>
      </c>
      <c r="H5" s="3">
        <v>0.56710000000000005</v>
      </c>
      <c r="J5" s="5">
        <v>4</v>
      </c>
      <c r="K5" s="1">
        <f t="shared" ref="K5:K18" si="5">L4</f>
        <v>0.71428571428571552</v>
      </c>
      <c r="L5" s="1">
        <f t="shared" ref="L5:L9" si="6">O4</f>
        <v>1.4383328404620448</v>
      </c>
      <c r="M5" s="1">
        <f t="shared" ref="M5:M9" si="7">K5^3-K5-2</f>
        <v>-2.3498542274052472</v>
      </c>
      <c r="N5" s="1">
        <f t="shared" ref="N5:N9" si="8">L5^3-L5-2</f>
        <v>-0.46270790405109885</v>
      </c>
      <c r="O5" s="1">
        <f t="shared" ref="O5:O9" si="9">K5-(M5*(K5-L5))/(K5-N5)</f>
        <v>-0.73126604893479263</v>
      </c>
      <c r="P5" s="1">
        <f t="shared" ref="P5:P9" si="10">ABS(O4-L4)</f>
        <v>0.72404712617632927</v>
      </c>
    </row>
    <row r="6" spans="1:16" x14ac:dyDescent="0.25">
      <c r="A6" s="5">
        <v>5</v>
      </c>
      <c r="B6" s="1">
        <f t="shared" si="0"/>
        <v>0.57749282167884863</v>
      </c>
      <c r="C6" s="1">
        <f t="shared" si="1"/>
        <v>-1.6188928850512374E-2</v>
      </c>
      <c r="D6" s="1">
        <f t="shared" si="2"/>
        <v>-0.23816160600467956</v>
      </c>
      <c r="E6" s="1">
        <f t="shared" si="3"/>
        <v>-0.14581406449023659</v>
      </c>
      <c r="F6" s="1">
        <f t="shared" si="4"/>
        <v>0.25249502507465921</v>
      </c>
      <c r="J6" s="5">
        <v>5</v>
      </c>
      <c r="K6" s="1">
        <f t="shared" si="5"/>
        <v>1.4383328404620448</v>
      </c>
      <c r="L6" s="1">
        <f t="shared" si="6"/>
        <v>-0.73126604893479263</v>
      </c>
      <c r="M6" s="1">
        <f t="shared" si="7"/>
        <v>-0.46270790405109885</v>
      </c>
      <c r="N6" s="1">
        <f t="shared" si="8"/>
        <v>-1.6597784958335773</v>
      </c>
      <c r="O6" s="1">
        <f t="shared" si="9"/>
        <v>1.7623659192553793</v>
      </c>
      <c r="P6" s="1">
        <f t="shared" si="10"/>
        <v>2.1695988893968376</v>
      </c>
    </row>
    <row r="7" spans="1:16" x14ac:dyDescent="0.25">
      <c r="A7" s="5">
        <v>6</v>
      </c>
      <c r="B7" s="1">
        <f t="shared" si="0"/>
        <v>0.56685829879206573</v>
      </c>
      <c r="C7" s="1">
        <f t="shared" si="1"/>
        <v>4.4664573547015252E-4</v>
      </c>
      <c r="D7" s="1">
        <f t="shared" si="2"/>
        <v>-1.6188928850512374E-2</v>
      </c>
      <c r="E7" s="1">
        <f t="shared" si="3"/>
        <v>-1.0634522886782904E-2</v>
      </c>
      <c r="F7" s="1">
        <f t="shared" si="4"/>
        <v>1.8760460787897625E-2</v>
      </c>
      <c r="J7" s="5">
        <v>6</v>
      </c>
      <c r="K7" s="1">
        <f t="shared" si="5"/>
        <v>-0.73126604893479263</v>
      </c>
      <c r="L7" s="1">
        <f t="shared" si="6"/>
        <v>1.7623659192553793</v>
      </c>
      <c r="M7" s="1">
        <f t="shared" si="7"/>
        <v>-1.6597784958335773</v>
      </c>
      <c r="N7" s="1">
        <f t="shared" si="8"/>
        <v>1.7114256636347314</v>
      </c>
      <c r="O7" s="1">
        <f t="shared" si="9"/>
        <v>0.96312571406481506</v>
      </c>
      <c r="P7" s="1">
        <f t="shared" si="10"/>
        <v>2.4936319681901722</v>
      </c>
    </row>
    <row r="8" spans="1:16" x14ac:dyDescent="0.25">
      <c r="A8" s="5">
        <v>7</v>
      </c>
      <c r="B8" s="3">
        <f t="shared" si="0"/>
        <v>0.56714382330290192</v>
      </c>
      <c r="C8" s="1">
        <f t="shared" si="1"/>
        <v>-8.3511979387385082E-7</v>
      </c>
      <c r="D8" s="1">
        <f t="shared" si="2"/>
        <v>4.4664573547015252E-4</v>
      </c>
      <c r="E8" s="1">
        <f t="shared" si="3"/>
        <v>2.8552451083618813E-4</v>
      </c>
      <c r="F8" s="1">
        <f t="shared" si="4"/>
        <v>5.0344286423391815E-4</v>
      </c>
      <c r="J8" s="5">
        <v>7</v>
      </c>
      <c r="K8" s="1">
        <f t="shared" si="5"/>
        <v>1.7623659192553793</v>
      </c>
      <c r="L8" s="1">
        <f t="shared" si="6"/>
        <v>0.96312571406481506</v>
      </c>
      <c r="M8" s="1">
        <f t="shared" si="7"/>
        <v>1.7114256636347314</v>
      </c>
      <c r="N8" s="1">
        <f t="shared" si="8"/>
        <v>-2.0697195714252765</v>
      </c>
      <c r="O8" s="1">
        <f t="shared" si="9"/>
        <v>1.4054218474442717</v>
      </c>
      <c r="P8" s="1">
        <f t="shared" si="10"/>
        <v>0.79924020519056427</v>
      </c>
    </row>
    <row r="9" spans="1:16" x14ac:dyDescent="0.25">
      <c r="A9" s="5">
        <v>8</v>
      </c>
      <c r="B9" s="1">
        <f t="shared" si="0"/>
        <v>0.56714329043726575</v>
      </c>
      <c r="C9" s="1">
        <f t="shared" si="1"/>
        <v>-4.3067993615863998E-11</v>
      </c>
      <c r="D9" s="1">
        <f t="shared" si="2"/>
        <v>-8.3511979387385082E-7</v>
      </c>
      <c r="E9" s="1">
        <f t="shared" si="3"/>
        <v>-5.3286563617138683E-7</v>
      </c>
      <c r="F9" s="1">
        <f t="shared" si="4"/>
        <v>9.3956085729331127E-7</v>
      </c>
      <c r="J9" s="5">
        <v>8</v>
      </c>
      <c r="K9" s="1">
        <f t="shared" si="5"/>
        <v>0.96312571406481506</v>
      </c>
      <c r="L9" s="1">
        <f t="shared" si="6"/>
        <v>1.4054218474442717</v>
      </c>
      <c r="M9" s="1">
        <f t="shared" si="7"/>
        <v>-2.0697195714252765</v>
      </c>
      <c r="N9" s="1">
        <f t="shared" si="8"/>
        <v>-0.62941776008421924</v>
      </c>
      <c r="O9" s="1">
        <f t="shared" si="9"/>
        <v>0.38830375254169891</v>
      </c>
      <c r="P9" s="1">
        <f t="shared" si="10"/>
        <v>0.44229613337945661</v>
      </c>
    </row>
    <row r="11" spans="1:16" x14ac:dyDescent="0.25">
      <c r="A11" s="10" t="s">
        <v>54</v>
      </c>
      <c r="B11" s="10" t="s">
        <v>53</v>
      </c>
      <c r="C11" s="10" t="s">
        <v>52</v>
      </c>
      <c r="D11" s="10" t="s">
        <v>51</v>
      </c>
      <c r="E11" s="10" t="s">
        <v>5</v>
      </c>
    </row>
    <row r="12" spans="1:16" x14ac:dyDescent="0.25">
      <c r="A12" s="10">
        <v>1</v>
      </c>
      <c r="B12">
        <v>1</v>
      </c>
      <c r="C12">
        <v>2</v>
      </c>
      <c r="D12">
        <f>C12-((C12^3-C12-2)*(C12-B12))/((C12^3-C12-2)-(B12^3-B12-2))</f>
        <v>1.3333333333333335</v>
      </c>
      <c r="E12">
        <f>ABS(D12-C12)</f>
        <v>0.66666666666666652</v>
      </c>
    </row>
    <row r="13" spans="1:16" x14ac:dyDescent="0.25">
      <c r="A13" s="10">
        <f>A12+1</f>
        <v>2</v>
      </c>
      <c r="B13">
        <f>C12</f>
        <v>2</v>
      </c>
      <c r="C13">
        <f>D12</f>
        <v>1.3333333333333335</v>
      </c>
      <c r="D13">
        <f>C13-((C13^3-C13-2)*(C13-B13))/((C13^3-C13-2)-(B13^3-B13-2))</f>
        <v>1.4626865671641791</v>
      </c>
      <c r="E13">
        <f>ABS(D13-C13)</f>
        <v>0.12935323383084563</v>
      </c>
    </row>
    <row r="14" spans="1:16" x14ac:dyDescent="0.25">
      <c r="A14" s="10">
        <f>A13+1</f>
        <v>3</v>
      </c>
      <c r="B14">
        <f>C13</f>
        <v>1.3333333333333335</v>
      </c>
      <c r="C14">
        <f>D13</f>
        <v>1.4626865671641791</v>
      </c>
      <c r="D14">
        <f>C14-((C14^3-C14-2)*(C14-B14))/((C14^3-C14-2)-(B14^3-B14-2))</f>
        <v>1.5311694321412044</v>
      </c>
      <c r="E14">
        <f>ABS(D14-C14)</f>
        <v>6.8482864977025271E-2</v>
      </c>
    </row>
    <row r="15" spans="1:16" x14ac:dyDescent="0.25">
      <c r="A15" s="10">
        <f>A14+1</f>
        <v>4</v>
      </c>
      <c r="B15">
        <f>C14</f>
        <v>1.4626865671641791</v>
      </c>
      <c r="C15">
        <f>D14</f>
        <v>1.5311694321412044</v>
      </c>
      <c r="D15">
        <f>C15-((C15^3-C15-2)*(C15-B15))/((C15^3-C15-2)-(B15^3-B15-2))</f>
        <v>1.5209264205152802</v>
      </c>
      <c r="E15">
        <f>ABS(D15-C15)</f>
        <v>1.0243011625924225E-2</v>
      </c>
    </row>
    <row r="16" spans="1:16" x14ac:dyDescent="0.25">
      <c r="A16" s="10">
        <f>A15+1</f>
        <v>5</v>
      </c>
      <c r="B16">
        <f>C15</f>
        <v>1.5311694321412044</v>
      </c>
      <c r="C16">
        <f>D15</f>
        <v>1.5209264205152802</v>
      </c>
      <c r="D16">
        <f>C16-((C16^3-C16-2)*(C16-B16))/((C16^3-C16-2)-(B16^3-B16-2))</f>
        <v>1.5213763166697438</v>
      </c>
      <c r="E16">
        <f>ABS(D16-C16)</f>
        <v>4.4989615446366926E-4</v>
      </c>
    </row>
    <row r="17" spans="1:5" x14ac:dyDescent="0.25">
      <c r="A17" s="10">
        <f>A16+1</f>
        <v>6</v>
      </c>
      <c r="B17">
        <f>C16</f>
        <v>1.5209264205152802</v>
      </c>
      <c r="C17">
        <f>D16</f>
        <v>1.5213763166697438</v>
      </c>
      <c r="D17">
        <f>C17-((C17^3-C17-2)*(C17-B17))/((C17^3-C17-2)-(B17^3-B17-2))</f>
        <v>1.5213797079848717</v>
      </c>
      <c r="E17">
        <f>ABS(D17-C17)</f>
        <v>3.3913151278319731E-6</v>
      </c>
    </row>
    <row r="18" spans="1:5" x14ac:dyDescent="0.25">
      <c r="A18" s="10">
        <f>A17+1</f>
        <v>7</v>
      </c>
      <c r="B18">
        <f>C17</f>
        <v>1.5213763166697438</v>
      </c>
      <c r="C18">
        <f>D17</f>
        <v>1.5213797079848717</v>
      </c>
      <c r="D18">
        <f>C18-((C18^3-C18-2)*(C18-B18))/((C18^3-C18-2)-(B18^3-B18-2))</f>
        <v>1.5213797068045645</v>
      </c>
      <c r="E18">
        <f>ABS(D18-C18)</f>
        <v>1.1803071853222491E-9</v>
      </c>
    </row>
    <row r="19" spans="1:5" x14ac:dyDescent="0.25">
      <c r="A19" s="10">
        <f>A18+1</f>
        <v>8</v>
      </c>
      <c r="B19">
        <f>C18</f>
        <v>1.5213797079848717</v>
      </c>
      <c r="C19">
        <f>D18</f>
        <v>1.5213797068045645</v>
      </c>
      <c r="D19">
        <f>C19-((C19^3-C19-2)*(C19-B19))/((C19^3-C19-2)-(B19^3-B19-2))</f>
        <v>1.5213797068045676</v>
      </c>
      <c r="E19">
        <f>ABS(D19-C19)</f>
        <v>3.1086244689504383E-15</v>
      </c>
    </row>
    <row r="20" spans="1:5" x14ac:dyDescent="0.25">
      <c r="A20" s="10">
        <f>A19+1</f>
        <v>9</v>
      </c>
      <c r="B20">
        <f>C19</f>
        <v>1.5213797068045645</v>
      </c>
      <c r="C20">
        <f>D19</f>
        <v>1.5213797068045676</v>
      </c>
      <c r="D20">
        <f>C20-((C20^3-C20-2)*(C20-B20))/((C20^3-C20-2)-(B20^3-B20-2))</f>
        <v>1.5213797068045676</v>
      </c>
      <c r="E20">
        <f>ABS(D20-C20)</f>
        <v>0</v>
      </c>
    </row>
    <row r="21" spans="1:5" x14ac:dyDescent="0.25">
      <c r="A21" s="10">
        <f>A20+1</f>
        <v>10</v>
      </c>
      <c r="B21">
        <f>C20</f>
        <v>1.5213797068045676</v>
      </c>
      <c r="C21">
        <f>D20</f>
        <v>1.5213797068045676</v>
      </c>
      <c r="D21" t="e">
        <f>C21-((C21^3-C21-2)*(C21-B21))/((C21^3-C21-2)-(B21^3-B21-2))</f>
        <v>#DIV/0!</v>
      </c>
      <c r="E21" t="e">
        <f>ABS(D21-C21)</f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F0248-B640-4B9B-B08C-3A44D45C53FD}">
  <dimension ref="A1:W26"/>
  <sheetViews>
    <sheetView zoomScale="88" workbookViewId="0">
      <selection activeCell="W23" sqref="W23"/>
    </sheetView>
  </sheetViews>
  <sheetFormatPr baseColWidth="10" defaultRowHeight="15" x14ac:dyDescent="0.25"/>
  <sheetData>
    <row r="1" spans="1:23" x14ac:dyDescent="0.25">
      <c r="A1" s="2" t="s">
        <v>4</v>
      </c>
      <c r="B1" s="2" t="s">
        <v>1</v>
      </c>
      <c r="C1" s="2" t="s">
        <v>2</v>
      </c>
      <c r="D1" s="2" t="s">
        <v>10</v>
      </c>
      <c r="E1" s="2" t="s">
        <v>3</v>
      </c>
      <c r="F1" s="2" t="s">
        <v>11</v>
      </c>
      <c r="G1" s="2" t="s">
        <v>5</v>
      </c>
      <c r="H1" s="2" t="s">
        <v>0</v>
      </c>
      <c r="I1" s="1" t="s">
        <v>6</v>
      </c>
      <c r="N1" s="5" t="s">
        <v>4</v>
      </c>
      <c r="O1" s="5" t="s">
        <v>1</v>
      </c>
      <c r="P1" s="5" t="s">
        <v>2</v>
      </c>
      <c r="Q1" s="5" t="s">
        <v>10</v>
      </c>
      <c r="R1" s="5" t="s">
        <v>3</v>
      </c>
      <c r="S1" s="5" t="s">
        <v>11</v>
      </c>
      <c r="T1" s="5" t="s">
        <v>12</v>
      </c>
      <c r="U1" s="5" t="s">
        <v>5</v>
      </c>
      <c r="V1" s="5" t="s">
        <v>0</v>
      </c>
      <c r="W1" s="4" t="s">
        <v>14</v>
      </c>
    </row>
    <row r="2" spans="1:23" x14ac:dyDescent="0.25">
      <c r="A2" s="2">
        <v>1</v>
      </c>
      <c r="B2" s="1">
        <v>1</v>
      </c>
      <c r="C2" s="1">
        <v>2</v>
      </c>
      <c r="D2" s="1">
        <f>(B2+C2)/2</f>
        <v>1.5</v>
      </c>
      <c r="E2" s="1">
        <f>B2^3-B2-2</f>
        <v>-2</v>
      </c>
      <c r="F2" s="1">
        <f>D2^3-D2-2</f>
        <v>-0.125</v>
      </c>
      <c r="G2" s="1">
        <f>ABS(C2-B2)</f>
        <v>1</v>
      </c>
      <c r="H2" s="5" t="s">
        <v>1</v>
      </c>
      <c r="I2" s="1">
        <v>1</v>
      </c>
      <c r="N2" s="5">
        <v>1</v>
      </c>
      <c r="O2" s="1">
        <v>0</v>
      </c>
      <c r="P2" s="1">
        <v>1.4</v>
      </c>
      <c r="Q2" s="1">
        <f>(O2+P2)/2</f>
        <v>0.7</v>
      </c>
      <c r="R2" s="1">
        <f>O2^10-1</f>
        <v>-1</v>
      </c>
      <c r="S2" s="1">
        <f>Q2^10-1</f>
        <v>-0.97175247510000007</v>
      </c>
      <c r="T2" s="1">
        <f>R2*S2</f>
        <v>0.97175247510000007</v>
      </c>
      <c r="U2" s="1"/>
      <c r="V2" s="5" t="s">
        <v>1</v>
      </c>
      <c r="W2" s="1">
        <v>0</v>
      </c>
    </row>
    <row r="3" spans="1:23" x14ac:dyDescent="0.25">
      <c r="A3" s="2">
        <v>2</v>
      </c>
      <c r="B3" s="1">
        <f>IF(E2*F2&lt;0,B2,D2)</f>
        <v>1.5</v>
      </c>
      <c r="C3" s="1">
        <f>IF(E2*F2&lt;0,D2,C2)</f>
        <v>2</v>
      </c>
      <c r="D3" s="1">
        <f>(B3+C3)/2</f>
        <v>1.75</v>
      </c>
      <c r="E3" s="1">
        <f>B3^3-B3-2</f>
        <v>-0.125</v>
      </c>
      <c r="F3" s="1">
        <f>D3^3-D3-2</f>
        <v>1.609375</v>
      </c>
      <c r="G3" s="1">
        <f>ABS(C3-B3)</f>
        <v>0.5</v>
      </c>
      <c r="H3" s="5" t="s">
        <v>2</v>
      </c>
      <c r="I3" s="1">
        <v>2</v>
      </c>
      <c r="N3" s="5">
        <v>2</v>
      </c>
      <c r="O3" s="1">
        <f>IF(T2&lt;0,O2,Q2)</f>
        <v>0.7</v>
      </c>
      <c r="P3" s="1">
        <f>IF(T2&gt;0,P2,Q2)</f>
        <v>1.4</v>
      </c>
      <c r="Q3" s="1">
        <f>(O3+P3)/2</f>
        <v>1.0499999999999998</v>
      </c>
      <c r="R3" s="1">
        <f>O3^10-1</f>
        <v>-0.97175247510000007</v>
      </c>
      <c r="S3" s="1">
        <f>Q3^10-1</f>
        <v>0.62889462677743846</v>
      </c>
      <c r="T3" s="1">
        <f>R3*S3</f>
        <v>-0.61112991014806661</v>
      </c>
      <c r="U3" s="1">
        <f>ABS(Q3-Q2)/Q3</f>
        <v>0.33333333333333326</v>
      </c>
      <c r="V3" s="5" t="s">
        <v>2</v>
      </c>
      <c r="W3" s="1">
        <v>1.4</v>
      </c>
    </row>
    <row r="4" spans="1:23" x14ac:dyDescent="0.25">
      <c r="A4" s="2">
        <v>3</v>
      </c>
      <c r="B4" s="1">
        <f>IF(E3*F3&lt;0,B3,D3)</f>
        <v>1.5</v>
      </c>
      <c r="C4" s="1">
        <f>IF(E3*F3&lt;0,D3,C3)</f>
        <v>1.75</v>
      </c>
      <c r="D4" s="1">
        <f>(B4+C4)/2</f>
        <v>1.625</v>
      </c>
      <c r="E4" s="1">
        <f>B4^3-B4-2</f>
        <v>-0.125</v>
      </c>
      <c r="F4" s="1">
        <f>D4^3-D4-2</f>
        <v>0.666015625</v>
      </c>
      <c r="G4" s="1">
        <f>ABS(C4-B4)</f>
        <v>0.25</v>
      </c>
      <c r="H4" s="5" t="s">
        <v>16</v>
      </c>
      <c r="I4" s="1">
        <v>2E-3</v>
      </c>
      <c r="N4" s="5">
        <v>3</v>
      </c>
      <c r="O4" s="1">
        <f t="shared" ref="O4:O11" si="0">IF(T3&lt;0,O3,Q3)</f>
        <v>0.7</v>
      </c>
      <c r="P4" s="1">
        <f t="shared" ref="P4:P12" si="1">IF(T3&gt;0,P3,Q3)</f>
        <v>1.0499999999999998</v>
      </c>
      <c r="Q4" s="1">
        <f t="shared" ref="Q4:Q12" si="2">(O4+P4)/2</f>
        <v>0.87499999999999989</v>
      </c>
      <c r="R4" s="1">
        <f t="shared" ref="R4:R12" si="3">O4^10-1</f>
        <v>-0.97175247510000007</v>
      </c>
      <c r="S4" s="1">
        <f t="shared" ref="S4:S12" si="4">Q4^10-1</f>
        <v>-0.73692442383617207</v>
      </c>
      <c r="T4" s="1">
        <f t="shared" ref="T4:T12" si="5">R4*S4</f>
        <v>0.71610813282444175</v>
      </c>
      <c r="U4" s="1">
        <f t="shared" ref="U4:U12" si="6">ABS(Q4-Q3)/Q4</f>
        <v>0.19999999999999996</v>
      </c>
      <c r="V4" s="5" t="s">
        <v>16</v>
      </c>
      <c r="W4" s="1">
        <v>3.0000000000000001E-3</v>
      </c>
    </row>
    <row r="5" spans="1:23" x14ac:dyDescent="0.25">
      <c r="A5" s="2">
        <v>4</v>
      </c>
      <c r="B5" s="1">
        <f t="shared" ref="B5:B8" si="7">IF(E4*F4&lt;0,B4,D4)</f>
        <v>1.5</v>
      </c>
      <c r="C5" s="1">
        <f t="shared" ref="C5:C8" si="8">IF(E4*F4&lt;0,D4,C4)</f>
        <v>1.625</v>
      </c>
      <c r="D5" s="1">
        <f t="shared" ref="D5:D8" si="9">(B5+C5)/2</f>
        <v>1.5625</v>
      </c>
      <c r="E5" s="1">
        <f t="shared" ref="E5:E8" si="10">B5^3-B5-2</f>
        <v>-0.125</v>
      </c>
      <c r="F5" s="1">
        <f t="shared" ref="F5:F8" si="11">D5^3-D5-2</f>
        <v>0.252197265625</v>
      </c>
      <c r="G5" s="1">
        <f t="shared" ref="G5:G8" si="12">ABS(C5-B5)</f>
        <v>0.125</v>
      </c>
      <c r="H5" s="2" t="s">
        <v>7</v>
      </c>
      <c r="I5" s="3">
        <v>1.5205</v>
      </c>
      <c r="N5" s="5">
        <v>4</v>
      </c>
      <c r="O5" s="1">
        <f t="shared" si="0"/>
        <v>0.87499999999999989</v>
      </c>
      <c r="P5" s="1">
        <f t="shared" si="1"/>
        <v>1.0499999999999998</v>
      </c>
      <c r="Q5" s="1">
        <f t="shared" si="2"/>
        <v>0.96249999999999991</v>
      </c>
      <c r="R5" s="1">
        <f t="shared" si="3"/>
        <v>-0.73692442383617207</v>
      </c>
      <c r="S5" s="1">
        <f t="shared" si="4"/>
        <v>-0.31764970788860736</v>
      </c>
      <c r="T5" s="1">
        <f t="shared" si="5"/>
        <v>0.23408382796754035</v>
      </c>
      <c r="U5" s="1">
        <f t="shared" si="6"/>
        <v>9.0909090909090939E-2</v>
      </c>
      <c r="V5" s="5" t="s">
        <v>7</v>
      </c>
      <c r="W5" s="3">
        <v>0.998</v>
      </c>
    </row>
    <row r="6" spans="1:23" x14ac:dyDescent="0.25">
      <c r="A6" s="2">
        <v>5</v>
      </c>
      <c r="B6" s="1">
        <f t="shared" si="7"/>
        <v>1.5</v>
      </c>
      <c r="C6" s="1">
        <f t="shared" si="8"/>
        <v>1.5625</v>
      </c>
      <c r="D6" s="1">
        <f t="shared" si="9"/>
        <v>1.53125</v>
      </c>
      <c r="E6" s="1">
        <f t="shared" si="10"/>
        <v>-0.125</v>
      </c>
      <c r="F6" s="1">
        <f t="shared" si="11"/>
        <v>5.9112548828125E-2</v>
      </c>
      <c r="G6" s="1">
        <f t="shared" si="12"/>
        <v>6.25E-2</v>
      </c>
      <c r="N6" s="5">
        <v>5</v>
      </c>
      <c r="O6" s="1">
        <f t="shared" si="0"/>
        <v>0.96249999999999991</v>
      </c>
      <c r="P6" s="1">
        <f t="shared" si="1"/>
        <v>1.0499999999999998</v>
      </c>
      <c r="Q6" s="1">
        <f t="shared" si="2"/>
        <v>1.0062499999999999</v>
      </c>
      <c r="R6" s="1">
        <f t="shared" si="3"/>
        <v>-0.31764970788860736</v>
      </c>
      <c r="S6" s="1">
        <f t="shared" si="4"/>
        <v>6.4287432225389685E-2</v>
      </c>
      <c r="T6" s="1">
        <f t="shared" si="5"/>
        <v>-2.0420884067303677E-2</v>
      </c>
      <c r="U6" s="1">
        <f t="shared" si="6"/>
        <v>4.3478260869565181E-2</v>
      </c>
    </row>
    <row r="7" spans="1:23" x14ac:dyDescent="0.25">
      <c r="A7" s="2">
        <v>6</v>
      </c>
      <c r="B7" s="1">
        <f t="shared" si="7"/>
        <v>1.5</v>
      </c>
      <c r="C7" s="1">
        <f t="shared" si="8"/>
        <v>1.53125</v>
      </c>
      <c r="D7" s="1">
        <f t="shared" si="9"/>
        <v>1.515625</v>
      </c>
      <c r="E7" s="1">
        <f t="shared" si="10"/>
        <v>-0.125</v>
      </c>
      <c r="F7" s="1">
        <f t="shared" si="11"/>
        <v>-3.4053802490234375E-2</v>
      </c>
      <c r="G7" s="1">
        <f t="shared" si="12"/>
        <v>3.125E-2</v>
      </c>
      <c r="N7" s="5">
        <v>6</v>
      </c>
      <c r="O7" s="1">
        <f t="shared" si="0"/>
        <v>0.96249999999999991</v>
      </c>
      <c r="P7" s="1">
        <f t="shared" si="1"/>
        <v>1.0062499999999999</v>
      </c>
      <c r="Q7" s="1">
        <f t="shared" si="2"/>
        <v>0.98437499999999989</v>
      </c>
      <c r="R7" s="1">
        <f t="shared" si="3"/>
        <v>-0.31764970788860736</v>
      </c>
      <c r="S7" s="1">
        <f t="shared" si="4"/>
        <v>-0.14570915023598541</v>
      </c>
      <c r="T7" s="1">
        <f t="shared" si="5"/>
        <v>4.6284469009157968E-2</v>
      </c>
      <c r="U7" s="1">
        <f t="shared" si="6"/>
        <v>2.2222222222222202E-2</v>
      </c>
    </row>
    <row r="8" spans="1:23" x14ac:dyDescent="0.25">
      <c r="A8" s="2">
        <v>7</v>
      </c>
      <c r="B8" s="1">
        <f t="shared" si="7"/>
        <v>1.515625</v>
      </c>
      <c r="C8" s="1">
        <f t="shared" si="8"/>
        <v>1.53125</v>
      </c>
      <c r="D8" s="1">
        <f t="shared" si="9"/>
        <v>1.5234375</v>
      </c>
      <c r="E8" s="1">
        <f t="shared" si="10"/>
        <v>-3.4053802490234375E-2</v>
      </c>
      <c r="F8" s="1">
        <f t="shared" si="11"/>
        <v>1.2250423431396484E-2</v>
      </c>
      <c r="G8" s="1">
        <f t="shared" si="12"/>
        <v>1.5625E-2</v>
      </c>
      <c r="I8" t="s">
        <v>8</v>
      </c>
      <c r="N8" s="5">
        <v>7</v>
      </c>
      <c r="O8" s="1">
        <f t="shared" si="0"/>
        <v>0.98437499999999989</v>
      </c>
      <c r="P8" s="1">
        <f t="shared" si="1"/>
        <v>1.0062499999999999</v>
      </c>
      <c r="Q8" s="1">
        <f t="shared" si="2"/>
        <v>0.99531249999999982</v>
      </c>
      <c r="R8" s="1">
        <f t="shared" si="3"/>
        <v>-0.14570915023598541</v>
      </c>
      <c r="S8" s="1">
        <f t="shared" si="4"/>
        <v>-4.5898489268474396E-2</v>
      </c>
      <c r="T8" s="1">
        <f t="shared" si="5"/>
        <v>6.6878298684248999E-3</v>
      </c>
      <c r="U8" s="1">
        <f t="shared" si="6"/>
        <v>1.0989010989010924E-2</v>
      </c>
    </row>
    <row r="9" spans="1:23" x14ac:dyDescent="0.25">
      <c r="A9" s="2">
        <v>8</v>
      </c>
      <c r="B9" s="1">
        <f t="shared" ref="B9:B12" si="13">IF(E8*F8&lt;0,B8,D8)</f>
        <v>1.515625</v>
      </c>
      <c r="C9" s="1">
        <f t="shared" ref="C9:C12" si="14">IF(E8*F8&lt;0,D8,C8)</f>
        <v>1.5234375</v>
      </c>
      <c r="D9" s="1">
        <f t="shared" ref="D9:D12" si="15">(B9+C9)/2</f>
        <v>1.51953125</v>
      </c>
      <c r="E9" s="1">
        <f t="shared" ref="E9:E12" si="16">B9^3-B9-2</f>
        <v>-3.4053802490234375E-2</v>
      </c>
      <c r="F9" s="1">
        <f t="shared" ref="F9:F12" si="17">D9^3-D9-2</f>
        <v>-1.0971248149871826E-2</v>
      </c>
      <c r="G9" s="1">
        <f t="shared" ref="G9:G12" si="18">ABS(C9-B9)</f>
        <v>7.8125E-3</v>
      </c>
      <c r="N9" s="5">
        <v>8</v>
      </c>
      <c r="O9" s="1">
        <f t="shared" si="0"/>
        <v>0.99531249999999982</v>
      </c>
      <c r="P9" s="1">
        <f t="shared" si="1"/>
        <v>1.0062499999999999</v>
      </c>
      <c r="Q9" s="1">
        <f t="shared" si="2"/>
        <v>1.0007812499999997</v>
      </c>
      <c r="R9" s="1">
        <f t="shared" si="3"/>
        <v>-4.5898489268474396E-2</v>
      </c>
      <c r="S9" s="1">
        <f t="shared" si="4"/>
        <v>7.8400231190729475E-3</v>
      </c>
      <c r="T9" s="1">
        <f t="shared" si="5"/>
        <v>-3.5984521699536083E-4</v>
      </c>
      <c r="U9" s="1">
        <f t="shared" si="6"/>
        <v>5.4644808743168523E-3</v>
      </c>
    </row>
    <row r="10" spans="1:23" x14ac:dyDescent="0.25">
      <c r="A10" s="2">
        <v>9</v>
      </c>
      <c r="B10" s="1">
        <f t="shared" si="13"/>
        <v>1.51953125</v>
      </c>
      <c r="C10" s="1">
        <f t="shared" si="14"/>
        <v>1.5234375</v>
      </c>
      <c r="D10" s="1">
        <f t="shared" si="15"/>
        <v>1.521484375</v>
      </c>
      <c r="E10" s="1">
        <f t="shared" si="16"/>
        <v>-1.0971248149871826E-2</v>
      </c>
      <c r="F10" s="1">
        <f t="shared" si="17"/>
        <v>6.2217563390731812E-4</v>
      </c>
      <c r="G10" s="1">
        <f t="shared" si="18"/>
        <v>3.90625E-3</v>
      </c>
      <c r="N10" s="5">
        <v>9</v>
      </c>
      <c r="O10" s="1">
        <f t="shared" si="0"/>
        <v>0.99531249999999982</v>
      </c>
      <c r="P10" s="4">
        <f t="shared" si="1"/>
        <v>1.0007812499999997</v>
      </c>
      <c r="Q10" s="3">
        <f t="shared" si="2"/>
        <v>0.99804687499999978</v>
      </c>
      <c r="R10" s="1">
        <f t="shared" si="3"/>
        <v>-4.5898489268474396E-2</v>
      </c>
      <c r="S10" s="1">
        <f t="shared" si="4"/>
        <v>-1.9360479643969142E-2</v>
      </c>
      <c r="T10" s="1">
        <f t="shared" si="5"/>
        <v>8.8861676717123469E-4</v>
      </c>
      <c r="U10" s="1">
        <f t="shared" si="6"/>
        <v>2.7397260273972165E-3</v>
      </c>
    </row>
    <row r="11" spans="1:23" x14ac:dyDescent="0.25">
      <c r="A11" s="2">
        <v>10</v>
      </c>
      <c r="B11" s="4">
        <f>IF(E10*F10&lt;0,B10,D10)</f>
        <v>1.51953125</v>
      </c>
      <c r="C11" s="4">
        <f t="shared" si="14"/>
        <v>1.521484375</v>
      </c>
      <c r="D11" s="3">
        <f t="shared" si="15"/>
        <v>1.5205078125</v>
      </c>
      <c r="E11" s="1">
        <f t="shared" si="16"/>
        <v>-1.0971248149871826E-2</v>
      </c>
      <c r="F11" s="1">
        <f t="shared" si="17"/>
        <v>-5.1788864657282829E-3</v>
      </c>
      <c r="G11" s="1">
        <f t="shared" si="18"/>
        <v>1.953125E-3</v>
      </c>
      <c r="N11" s="5">
        <v>10</v>
      </c>
      <c r="O11" s="1">
        <f t="shared" si="0"/>
        <v>0.99804687499999978</v>
      </c>
      <c r="P11" s="1">
        <f t="shared" si="1"/>
        <v>1.0007812499999997</v>
      </c>
      <c r="Q11" s="1">
        <f t="shared" si="2"/>
        <v>0.99941406249999976</v>
      </c>
      <c r="R11" s="1">
        <f t="shared" si="3"/>
        <v>-1.9360479643969142E-2</v>
      </c>
      <c r="S11" s="1">
        <f t="shared" si="4"/>
        <v>-5.8439495912223638E-3</v>
      </c>
      <c r="T11" s="1">
        <f t="shared" si="5"/>
        <v>1.1314166710124236E-4</v>
      </c>
      <c r="U11" s="1">
        <f t="shared" si="6"/>
        <v>1.3679890560875294E-3</v>
      </c>
    </row>
    <row r="12" spans="1:23" x14ac:dyDescent="0.25">
      <c r="A12" s="2">
        <v>11</v>
      </c>
      <c r="B12" s="1">
        <f t="shared" si="13"/>
        <v>1.5205078125</v>
      </c>
      <c r="C12" s="1">
        <f t="shared" si="14"/>
        <v>1.521484375</v>
      </c>
      <c r="D12" s="1">
        <f t="shared" si="15"/>
        <v>1.52099609375</v>
      </c>
      <c r="E12" s="1">
        <f t="shared" si="16"/>
        <v>-5.1788864657282829E-3</v>
      </c>
      <c r="F12" s="1">
        <f t="shared" si="17"/>
        <v>-2.2794433170929551E-3</v>
      </c>
      <c r="G12" s="1">
        <f t="shared" si="18"/>
        <v>9.765625E-4</v>
      </c>
      <c r="N12" s="5">
        <v>11</v>
      </c>
      <c r="O12" s="1">
        <f>IF(T11&lt;0,O11,Q11)</f>
        <v>0.99941406249999976</v>
      </c>
      <c r="P12" s="1">
        <f t="shared" si="1"/>
        <v>1.0007812499999997</v>
      </c>
      <c r="Q12" s="1">
        <f t="shared" si="2"/>
        <v>1.0000976562499997</v>
      </c>
      <c r="R12" s="1">
        <f t="shared" si="3"/>
        <v>-5.8439495912223638E-3</v>
      </c>
      <c r="S12" s="1">
        <f t="shared" si="4"/>
        <v>9.7699176521692799E-4</v>
      </c>
      <c r="T12" s="1">
        <f t="shared" si="5"/>
        <v>-5.7094906269670819E-6</v>
      </c>
      <c r="U12" s="1">
        <f t="shared" si="6"/>
        <v>6.8352699931640659E-4</v>
      </c>
    </row>
    <row r="14" spans="1:23" x14ac:dyDescent="0.25">
      <c r="A14" s="5" t="s">
        <v>4</v>
      </c>
      <c r="B14" s="5" t="s">
        <v>1</v>
      </c>
      <c r="C14" s="5" t="s">
        <v>2</v>
      </c>
      <c r="D14" s="5" t="s">
        <v>10</v>
      </c>
      <c r="E14" s="5" t="s">
        <v>3</v>
      </c>
      <c r="F14" s="5" t="s">
        <v>9</v>
      </c>
      <c r="G14" s="5" t="s">
        <v>11</v>
      </c>
      <c r="H14" s="5" t="s">
        <v>12</v>
      </c>
      <c r="I14" s="5" t="s">
        <v>5</v>
      </c>
      <c r="J14" s="5" t="s">
        <v>0</v>
      </c>
      <c r="K14" s="5" t="s">
        <v>13</v>
      </c>
      <c r="N14" s="5" t="s">
        <v>17</v>
      </c>
      <c r="O14" s="5" t="s">
        <v>1</v>
      </c>
      <c r="P14" s="5" t="s">
        <v>2</v>
      </c>
      <c r="Q14" s="5" t="s">
        <v>10</v>
      </c>
      <c r="R14" s="5" t="s">
        <v>3</v>
      </c>
      <c r="S14" s="5" t="s">
        <v>11</v>
      </c>
      <c r="T14" s="5" t="s">
        <v>12</v>
      </c>
      <c r="U14" s="5" t="s">
        <v>5</v>
      </c>
      <c r="V14" s="5" t="s">
        <v>0</v>
      </c>
      <c r="W14" s="1" t="s">
        <v>18</v>
      </c>
    </row>
    <row r="15" spans="1:23" x14ac:dyDescent="0.25">
      <c r="A15" s="2">
        <v>1</v>
      </c>
      <c r="B15" s="1">
        <v>1.5</v>
      </c>
      <c r="C15" s="1">
        <v>3.5</v>
      </c>
      <c r="D15" s="1">
        <f>(B15+C15)/2</f>
        <v>2.5</v>
      </c>
      <c r="E15" s="1">
        <f t="shared" ref="E15:G16" si="19">B15^3-B15-8</f>
        <v>-6.125</v>
      </c>
      <c r="F15" s="1">
        <f t="shared" si="19"/>
        <v>31.375</v>
      </c>
      <c r="G15" s="1">
        <f t="shared" si="19"/>
        <v>5.125</v>
      </c>
      <c r="H15" s="1">
        <f>E15*G15</f>
        <v>-31.390625</v>
      </c>
      <c r="I15" s="1"/>
      <c r="J15" s="5" t="s">
        <v>1</v>
      </c>
      <c r="K15" s="1">
        <v>1.5</v>
      </c>
      <c r="N15" s="5">
        <v>1</v>
      </c>
      <c r="O15" s="1">
        <v>2</v>
      </c>
      <c r="P15" s="1">
        <v>3</v>
      </c>
      <c r="Q15" s="1">
        <f>(O15+P15)/2</f>
        <v>2.5</v>
      </c>
      <c r="R15" s="1">
        <f t="shared" ref="R15:S17" si="20">LN(O15)+O15-3</f>
        <v>-0.3068528194400546</v>
      </c>
      <c r="S15" s="1">
        <f t="shared" si="20"/>
        <v>1.09861228866811</v>
      </c>
      <c r="T15" s="1">
        <f>R15*S15</f>
        <v>-0.33711227824930068</v>
      </c>
      <c r="U15" s="1"/>
      <c r="V15" s="5" t="s">
        <v>1</v>
      </c>
      <c r="W15" s="1">
        <v>2</v>
      </c>
    </row>
    <row r="16" spans="1:23" x14ac:dyDescent="0.25">
      <c r="A16" s="2">
        <v>2</v>
      </c>
      <c r="B16" s="1">
        <f>IF(H15&gt;0,D15,B15)</f>
        <v>1.5</v>
      </c>
      <c r="C16" s="1">
        <f>IF(H15&lt;0,D15,C15)</f>
        <v>2.5</v>
      </c>
      <c r="D16" s="1">
        <f>(B16+C16)/2</f>
        <v>2</v>
      </c>
      <c r="E16" s="1">
        <f t="shared" si="19"/>
        <v>-6.125</v>
      </c>
      <c r="F16" s="1">
        <f t="shared" si="19"/>
        <v>5.125</v>
      </c>
      <c r="G16" s="1">
        <f t="shared" si="19"/>
        <v>-2</v>
      </c>
      <c r="H16" s="1">
        <f>E16*G16</f>
        <v>12.25</v>
      </c>
      <c r="I16" s="1">
        <f>ABS(D16-D15)/D16</f>
        <v>0.25</v>
      </c>
      <c r="J16" s="5" t="s">
        <v>2</v>
      </c>
      <c r="K16" s="1">
        <v>1.5</v>
      </c>
      <c r="N16" s="5">
        <v>2</v>
      </c>
      <c r="O16" s="1">
        <f>IF(T15&lt;0,O15,Q15)</f>
        <v>2</v>
      </c>
      <c r="P16" s="1">
        <f>IF(T15&gt;0,P15,Q15)</f>
        <v>2.5</v>
      </c>
      <c r="Q16" s="1">
        <f>(O16+P16)/2</f>
        <v>2.25</v>
      </c>
      <c r="R16" s="1">
        <f t="shared" si="20"/>
        <v>-0.3068528194400546</v>
      </c>
      <c r="S16" s="1">
        <f t="shared" si="20"/>
        <v>0.41629073187415511</v>
      </c>
      <c r="T16" s="1">
        <f>R16*S16</f>
        <v>-0.1277399847823483</v>
      </c>
      <c r="U16" s="1">
        <f>ABS(Q16-Q15)/Q16</f>
        <v>0.1111111111111111</v>
      </c>
      <c r="V16" s="5" t="s">
        <v>2</v>
      </c>
      <c r="W16" s="1">
        <v>3</v>
      </c>
    </row>
    <row r="17" spans="1:23" x14ac:dyDescent="0.25">
      <c r="A17" s="2">
        <v>3</v>
      </c>
      <c r="B17" s="1">
        <f t="shared" ref="B17:B26" si="21">IF(H16&gt;0,D16,B16)</f>
        <v>2</v>
      </c>
      <c r="C17" s="1">
        <f t="shared" ref="C17:C26" si="22">IF(H16&lt;0,D16,C16)</f>
        <v>2.5</v>
      </c>
      <c r="D17" s="1">
        <f t="shared" ref="D17:D26" si="23">(B17+C17)/2</f>
        <v>2.25</v>
      </c>
      <c r="E17" s="1">
        <f t="shared" ref="E17:E26" si="24">B17^3-B17-8</f>
        <v>-2</v>
      </c>
      <c r="F17" s="1">
        <f t="shared" ref="F17:F26" si="25">C17^3-C17-8</f>
        <v>5.125</v>
      </c>
      <c r="G17" s="1">
        <f t="shared" ref="G17:G26" si="26">D17^3-D17-8</f>
        <v>1.140625</v>
      </c>
      <c r="H17" s="1">
        <f t="shared" ref="H17:H26" si="27">E17*G17</f>
        <v>-2.28125</v>
      </c>
      <c r="I17" s="1">
        <f t="shared" ref="I17:I26" si="28">ABS(D17-D16)/D17</f>
        <v>0.1111111111111111</v>
      </c>
      <c r="J17" s="5" t="s">
        <v>15</v>
      </c>
      <c r="K17" s="1">
        <v>1E-3</v>
      </c>
      <c r="N17" s="5">
        <v>3</v>
      </c>
      <c r="O17" s="1">
        <f>IF(T16&lt;0,O16,Q16)</f>
        <v>2</v>
      </c>
      <c r="P17" s="1">
        <f>IF(T16&gt;0,P16,Q16)</f>
        <v>2.25</v>
      </c>
      <c r="Q17" s="1">
        <f>(O17+P17)/2</f>
        <v>2.125</v>
      </c>
      <c r="R17" s="1">
        <f t="shared" si="20"/>
        <v>-0.3068528194400546</v>
      </c>
      <c r="S17" s="1">
        <f t="shared" si="20"/>
        <v>6.093021621632877E-2</v>
      </c>
      <c r="T17" s="1">
        <f>R17*S17</f>
        <v>-1.8696608635072619E-2</v>
      </c>
      <c r="U17" s="1">
        <f>ABS(Q17-Q16)/Q17</f>
        <v>5.8823529411764705E-2</v>
      </c>
      <c r="V17" s="5" t="s">
        <v>16</v>
      </c>
      <c r="W17" s="1">
        <v>1E-3</v>
      </c>
    </row>
    <row r="18" spans="1:23" x14ac:dyDescent="0.25">
      <c r="A18" s="2">
        <v>4</v>
      </c>
      <c r="B18" s="1">
        <f t="shared" si="21"/>
        <v>2</v>
      </c>
      <c r="C18" s="1">
        <f t="shared" si="22"/>
        <v>2.25</v>
      </c>
      <c r="D18" s="1">
        <f t="shared" si="23"/>
        <v>2.125</v>
      </c>
      <c r="E18" s="1">
        <f t="shared" si="24"/>
        <v>-2</v>
      </c>
      <c r="F18" s="1">
        <f t="shared" si="25"/>
        <v>1.140625</v>
      </c>
      <c r="G18" s="1">
        <f t="shared" si="26"/>
        <v>-0.529296875</v>
      </c>
      <c r="H18" s="1">
        <f t="shared" si="27"/>
        <v>1.05859375</v>
      </c>
      <c r="I18" s="1">
        <f t="shared" si="28"/>
        <v>5.8823529411764705E-2</v>
      </c>
      <c r="J18" s="5" t="s">
        <v>7</v>
      </c>
      <c r="K18" s="3">
        <v>2.1659999999999999</v>
      </c>
      <c r="N18" s="5">
        <v>4</v>
      </c>
      <c r="O18" s="1">
        <f t="shared" ref="O18:O23" si="29">IF(T17&lt;0,O17,Q17)</f>
        <v>2</v>
      </c>
      <c r="P18" s="1">
        <f t="shared" ref="P18:P23" si="30">IF(T17&gt;0,P17,Q17)</f>
        <v>2.125</v>
      </c>
      <c r="Q18" s="1">
        <f t="shared" ref="Q18:Q23" si="31">(O18+P18)/2</f>
        <v>2.0625</v>
      </c>
      <c r="R18" s="1">
        <f t="shared" ref="R18:R23" si="32">LN(O18)+O18-3</f>
        <v>-0.3068528194400546</v>
      </c>
      <c r="S18" s="1">
        <f t="shared" ref="S18:S23" si="33">LN(P18)+P18-3</f>
        <v>-0.12122819762362003</v>
      </c>
      <c r="T18" s="1">
        <f t="shared" ref="T18:T23" si="34">R18*S18</f>
        <v>3.7199214236443935E-2</v>
      </c>
      <c r="U18" s="1">
        <f t="shared" ref="U18:U23" si="35">ABS(Q18-Q17)/Q18</f>
        <v>3.0303030303030304E-2</v>
      </c>
      <c r="V18" s="5" t="s">
        <v>7</v>
      </c>
      <c r="W18" s="3">
        <v>2.1230000000000002</v>
      </c>
    </row>
    <row r="19" spans="1:23" x14ac:dyDescent="0.25">
      <c r="A19" s="2">
        <v>5</v>
      </c>
      <c r="B19" s="1">
        <f t="shared" si="21"/>
        <v>2.125</v>
      </c>
      <c r="C19" s="1">
        <f t="shared" si="22"/>
        <v>2.25</v>
      </c>
      <c r="D19" s="1">
        <f t="shared" si="23"/>
        <v>2.1875</v>
      </c>
      <c r="E19" s="1">
        <f t="shared" si="24"/>
        <v>-0.529296875</v>
      </c>
      <c r="F19" s="1">
        <f t="shared" si="25"/>
        <v>1.140625</v>
      </c>
      <c r="G19" s="1">
        <f t="shared" si="26"/>
        <v>0.280029296875</v>
      </c>
      <c r="H19" s="1">
        <f t="shared" si="27"/>
        <v>-0.14821863174438477</v>
      </c>
      <c r="I19" s="1">
        <f t="shared" si="28"/>
        <v>2.8571428571428571E-2</v>
      </c>
      <c r="N19" s="5">
        <v>5</v>
      </c>
      <c r="O19" s="1">
        <f t="shared" si="29"/>
        <v>2.0625</v>
      </c>
      <c r="P19" s="1">
        <f t="shared" si="30"/>
        <v>2.125</v>
      </c>
      <c r="Q19" s="1">
        <f t="shared" si="31"/>
        <v>2.09375</v>
      </c>
      <c r="R19" s="1">
        <f t="shared" si="32"/>
        <v>-0.21358116077330092</v>
      </c>
      <c r="S19" s="1">
        <f t="shared" si="33"/>
        <v>-0.12122819762362003</v>
      </c>
      <c r="T19" s="1">
        <f t="shared" si="34"/>
        <v>2.5892059166907885E-2</v>
      </c>
      <c r="U19" s="1">
        <f t="shared" si="35"/>
        <v>1.4925373134328358E-2</v>
      </c>
    </row>
    <row r="20" spans="1:23" x14ac:dyDescent="0.25">
      <c r="A20" s="2">
        <v>6</v>
      </c>
      <c r="B20" s="1">
        <f t="shared" si="21"/>
        <v>2.125</v>
      </c>
      <c r="C20" s="1">
        <f t="shared" si="22"/>
        <v>2.1875</v>
      </c>
      <c r="D20" s="1">
        <f t="shared" si="23"/>
        <v>2.15625</v>
      </c>
      <c r="E20" s="1">
        <f t="shared" si="24"/>
        <v>-0.529296875</v>
      </c>
      <c r="F20" s="1">
        <f t="shared" si="25"/>
        <v>0.280029296875</v>
      </c>
      <c r="G20" s="1">
        <f t="shared" si="26"/>
        <v>-0.130950927734375</v>
      </c>
      <c r="H20" s="1">
        <f t="shared" si="27"/>
        <v>6.9311916828155518E-2</v>
      </c>
      <c r="I20" s="1">
        <f t="shared" si="28"/>
        <v>1.4492753623188406E-2</v>
      </c>
      <c r="N20" s="5">
        <v>6</v>
      </c>
      <c r="O20" s="1">
        <f t="shared" si="29"/>
        <v>2.09375</v>
      </c>
      <c r="P20" s="1">
        <f t="shared" si="30"/>
        <v>2.125</v>
      </c>
      <c r="Q20" s="1">
        <f t="shared" si="31"/>
        <v>2.109375</v>
      </c>
      <c r="R20" s="1">
        <f t="shared" si="32"/>
        <v>-0.16729328340876037</v>
      </c>
      <c r="S20" s="1">
        <f t="shared" si="33"/>
        <v>-0.12122819762362003</v>
      </c>
      <c r="T20" s="1">
        <f t="shared" si="34"/>
        <v>2.0280663222181475E-2</v>
      </c>
      <c r="U20" s="1">
        <f t="shared" si="35"/>
        <v>7.4074074074074077E-3</v>
      </c>
    </row>
    <row r="21" spans="1:23" x14ac:dyDescent="0.25">
      <c r="A21" s="2">
        <v>7</v>
      </c>
      <c r="B21" s="1">
        <f t="shared" si="21"/>
        <v>2.15625</v>
      </c>
      <c r="C21" s="1">
        <f t="shared" si="22"/>
        <v>2.1875</v>
      </c>
      <c r="D21" s="1">
        <f t="shared" si="23"/>
        <v>2.171875</v>
      </c>
      <c r="E21" s="1">
        <f t="shared" si="24"/>
        <v>-0.130950927734375</v>
      </c>
      <c r="F21" s="1">
        <f t="shared" si="25"/>
        <v>0.280029296875</v>
      </c>
      <c r="G21" s="1">
        <f t="shared" si="26"/>
        <v>7.2948455810546875E-2</v>
      </c>
      <c r="H21" s="1">
        <f t="shared" si="27"/>
        <v>-9.5526679651811719E-3</v>
      </c>
      <c r="I21" s="1">
        <f t="shared" si="28"/>
        <v>7.1942446043165471E-3</v>
      </c>
      <c r="N21" s="5">
        <v>7</v>
      </c>
      <c r="O21" s="1">
        <f t="shared" si="29"/>
        <v>2.109375</v>
      </c>
      <c r="P21" s="1">
        <f t="shared" si="30"/>
        <v>2.125</v>
      </c>
      <c r="Q21" s="1">
        <f t="shared" si="31"/>
        <v>2.1171875</v>
      </c>
      <c r="R21" s="1">
        <f t="shared" si="32"/>
        <v>-0.14423330492124231</v>
      </c>
      <c r="S21" s="1">
        <f t="shared" si="33"/>
        <v>-0.12122819762362003</v>
      </c>
      <c r="T21" s="1">
        <f t="shared" si="34"/>
        <v>1.748514359290021E-2</v>
      </c>
      <c r="U21" s="1">
        <f t="shared" si="35"/>
        <v>3.6900369003690036E-3</v>
      </c>
    </row>
    <row r="22" spans="1:23" x14ac:dyDescent="0.25">
      <c r="A22" s="2">
        <v>8</v>
      </c>
      <c r="B22" s="1">
        <f t="shared" si="21"/>
        <v>2.15625</v>
      </c>
      <c r="C22" s="1">
        <f t="shared" si="22"/>
        <v>2.171875</v>
      </c>
      <c r="D22" s="1">
        <f t="shared" si="23"/>
        <v>2.1640625</v>
      </c>
      <c r="E22" s="1">
        <f t="shared" si="24"/>
        <v>-0.130950927734375</v>
      </c>
      <c r="F22" s="1">
        <f t="shared" si="25"/>
        <v>7.2948455810546875E-2</v>
      </c>
      <c r="G22" s="1">
        <f t="shared" si="26"/>
        <v>-2.9397487640380859E-2</v>
      </c>
      <c r="H22" s="1">
        <f t="shared" si="27"/>
        <v>3.8496282795676962E-3</v>
      </c>
      <c r="I22" s="1">
        <f t="shared" si="28"/>
        <v>3.6101083032490976E-3</v>
      </c>
      <c r="N22" s="5">
        <v>8</v>
      </c>
      <c r="O22" s="1">
        <f t="shared" si="29"/>
        <v>2.1171875</v>
      </c>
      <c r="P22" s="1">
        <f t="shared" si="30"/>
        <v>2.125</v>
      </c>
      <c r="Q22" s="1">
        <f t="shared" si="31"/>
        <v>2.12109375</v>
      </c>
      <c r="R22" s="1">
        <f t="shared" si="32"/>
        <v>-0.1327239430399163</v>
      </c>
      <c r="S22" s="1">
        <f t="shared" si="33"/>
        <v>-0.12122819762362003</v>
      </c>
      <c r="T22" s="1">
        <f t="shared" si="34"/>
        <v>1.6089884396229062E-2</v>
      </c>
      <c r="U22" s="1">
        <f t="shared" si="35"/>
        <v>1.841620626151013E-3</v>
      </c>
    </row>
    <row r="23" spans="1:23" x14ac:dyDescent="0.25">
      <c r="A23" s="2">
        <v>9</v>
      </c>
      <c r="B23" s="1">
        <f t="shared" si="21"/>
        <v>2.1640625</v>
      </c>
      <c r="C23" s="1">
        <f t="shared" si="22"/>
        <v>2.171875</v>
      </c>
      <c r="D23" s="1">
        <f t="shared" si="23"/>
        <v>2.16796875</v>
      </c>
      <c r="E23" s="1">
        <f t="shared" si="24"/>
        <v>-2.9397487640380859E-2</v>
      </c>
      <c r="F23" s="1">
        <f t="shared" si="25"/>
        <v>7.2948455810546875E-2</v>
      </c>
      <c r="G23" s="1">
        <f t="shared" si="26"/>
        <v>2.1676242351531982E-2</v>
      </c>
      <c r="H23" s="1">
        <f t="shared" si="27"/>
        <v>-6.3722706661906159E-4</v>
      </c>
      <c r="I23" s="1">
        <f t="shared" si="28"/>
        <v>1.8018018018018018E-3</v>
      </c>
      <c r="N23" s="5">
        <v>9</v>
      </c>
      <c r="O23" s="1">
        <f t="shared" si="29"/>
        <v>2.12109375</v>
      </c>
      <c r="P23" s="1">
        <f t="shared" si="30"/>
        <v>2.125</v>
      </c>
      <c r="Q23" s="3">
        <f t="shared" si="31"/>
        <v>2.123046875</v>
      </c>
      <c r="R23" s="1">
        <f t="shared" si="32"/>
        <v>-0.1269743745456271</v>
      </c>
      <c r="S23" s="1">
        <f t="shared" si="33"/>
        <v>-0.12122819762362003</v>
      </c>
      <c r="T23" s="1">
        <f t="shared" si="34"/>
        <v>1.539287457055283E-2</v>
      </c>
      <c r="U23" s="1">
        <f t="shared" si="35"/>
        <v>9.1996320147194111E-4</v>
      </c>
    </row>
    <row r="24" spans="1:23" x14ac:dyDescent="0.25">
      <c r="A24" s="2">
        <v>10</v>
      </c>
      <c r="B24" s="1">
        <f t="shared" si="21"/>
        <v>2.1640625</v>
      </c>
      <c r="C24" s="1">
        <f t="shared" si="22"/>
        <v>2.16796875</v>
      </c>
      <c r="D24" s="3">
        <f t="shared" si="23"/>
        <v>2.166015625</v>
      </c>
      <c r="E24" s="1">
        <f t="shared" si="24"/>
        <v>-2.9397487640380859E-2</v>
      </c>
      <c r="F24" s="1">
        <f t="shared" si="25"/>
        <v>2.1676242351531982E-2</v>
      </c>
      <c r="G24" s="1">
        <f t="shared" si="26"/>
        <v>-3.8854107260704041E-3</v>
      </c>
      <c r="H24" s="1">
        <f t="shared" si="27"/>
        <v>1.1422131379745792E-4</v>
      </c>
      <c r="I24" s="1">
        <f t="shared" si="28"/>
        <v>9.0171325518485117E-4</v>
      </c>
      <c r="N24" s="5">
        <v>10</v>
      </c>
      <c r="O24" s="1">
        <f>IF(T23&lt;0,O23,Q23)</f>
        <v>2.123046875</v>
      </c>
      <c r="P24" s="1">
        <f>IF(T23&gt;0,P23,Q23)</f>
        <v>2.125</v>
      </c>
      <c r="Q24" s="1">
        <f>(O24+P24)/2</f>
        <v>2.1240234375</v>
      </c>
      <c r="R24" s="1">
        <f>LN(O24)+O24-3</f>
        <v>-0.12410086291829847</v>
      </c>
      <c r="S24" s="1">
        <f>LN(P24)+P24-3</f>
        <v>-0.12122819762362003</v>
      </c>
      <c r="T24" s="1">
        <f>R24*S24</f>
        <v>1.5044523935121266E-2</v>
      </c>
      <c r="U24" s="1">
        <f>ABS(Q24-Q23)/Q24</f>
        <v>4.5977011494252872E-4</v>
      </c>
    </row>
    <row r="25" spans="1:23" x14ac:dyDescent="0.25">
      <c r="A25" s="2">
        <v>11</v>
      </c>
      <c r="B25" s="1">
        <f t="shared" si="21"/>
        <v>2.166015625</v>
      </c>
      <c r="C25" s="1">
        <f t="shared" si="22"/>
        <v>2.16796875</v>
      </c>
      <c r="D25" s="1">
        <f t="shared" si="23"/>
        <v>2.1669921875</v>
      </c>
      <c r="E25" s="1">
        <f t="shared" si="24"/>
        <v>-3.8854107260704041E-3</v>
      </c>
      <c r="F25" s="1">
        <f t="shared" si="25"/>
        <v>2.1676242351531982E-2</v>
      </c>
      <c r="G25" s="1">
        <f t="shared" si="26"/>
        <v>8.8892159983515739E-3</v>
      </c>
      <c r="H25" s="1">
        <f t="shared" si="27"/>
        <v>-3.4538255186351841E-5</v>
      </c>
      <c r="I25" s="1">
        <f t="shared" si="28"/>
        <v>4.5065344749887338E-4</v>
      </c>
      <c r="N25" s="5">
        <v>11</v>
      </c>
      <c r="O25" s="1">
        <f t="shared" ref="O25:O26" si="36">IF(T24&lt;0,O24,Q24)</f>
        <v>2.1240234375</v>
      </c>
      <c r="P25" s="1">
        <f t="shared" ref="P25:P26" si="37">IF(T24&gt;0,P24,Q24)</f>
        <v>2.125</v>
      </c>
      <c r="Q25" s="1">
        <f t="shared" ref="Q25:Q26" si="38">(O25+P25)/2</f>
        <v>2.12451171875</v>
      </c>
      <c r="R25" s="1">
        <f t="shared" ref="R25:R26" si="39">LN(O25)+O25-3</f>
        <v>-0.12266442457666837</v>
      </c>
      <c r="S25" s="1">
        <f t="shared" ref="S25:S26" si="40">LN(P25)+P25-3</f>
        <v>-0.12122819762362003</v>
      </c>
      <c r="T25" s="1">
        <f t="shared" ref="T25:T26" si="41">R25*S25</f>
        <v>1.4870387103967988E-2</v>
      </c>
      <c r="U25" s="1">
        <f t="shared" ref="U25:U26" si="42">ABS(Q25-Q24)/Q25</f>
        <v>2.2983222247759135E-4</v>
      </c>
    </row>
    <row r="26" spans="1:23" x14ac:dyDescent="0.25">
      <c r="A26" s="2">
        <v>12</v>
      </c>
      <c r="B26" s="1">
        <f t="shared" si="21"/>
        <v>2.166015625</v>
      </c>
      <c r="C26" s="4">
        <f t="shared" si="22"/>
        <v>2.1669921875</v>
      </c>
      <c r="D26" s="1">
        <f t="shared" si="23"/>
        <v>2.16650390625</v>
      </c>
      <c r="E26" s="1">
        <f t="shared" si="24"/>
        <v>-3.8854107260704041E-3</v>
      </c>
      <c r="F26" s="1">
        <f t="shared" si="25"/>
        <v>8.8892159983515739E-3</v>
      </c>
      <c r="G26" s="1">
        <f t="shared" si="26"/>
        <v>2.5003530317917466E-3</v>
      </c>
      <c r="H26" s="1">
        <f t="shared" si="27"/>
        <v>-9.7148984886863063E-6</v>
      </c>
      <c r="I26" s="1">
        <f t="shared" si="28"/>
        <v>2.2537750732476899E-4</v>
      </c>
      <c r="N26" s="5">
        <v>12</v>
      </c>
      <c r="O26" s="1">
        <f t="shared" si="36"/>
        <v>2.12451171875</v>
      </c>
      <c r="P26" s="1">
        <f t="shared" si="37"/>
        <v>2.125</v>
      </c>
      <c r="Q26" s="1">
        <f t="shared" si="38"/>
        <v>2.124755859375</v>
      </c>
      <c r="R26" s="1">
        <f t="shared" si="39"/>
        <v>-0.12194628468871826</v>
      </c>
      <c r="S26" s="1">
        <f t="shared" si="40"/>
        <v>-0.12122819762362003</v>
      </c>
      <c r="T26" s="1">
        <f t="shared" si="41"/>
        <v>1.4783328299710167E-2</v>
      </c>
      <c r="U26" s="1">
        <f t="shared" si="42"/>
        <v>1.149029070435482E-4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29E1B-F033-4735-8136-35E3C255C55A}">
  <dimension ref="A1:H15"/>
  <sheetViews>
    <sheetView tabSelected="1" workbookViewId="0">
      <selection activeCell="J10" sqref="J10"/>
    </sheetView>
  </sheetViews>
  <sheetFormatPr baseColWidth="10" defaultRowHeight="15" x14ac:dyDescent="0.25"/>
  <sheetData>
    <row r="1" spans="1:8" ht="15.75" thickBot="1" x14ac:dyDescent="0.3">
      <c r="A1" s="12" t="s">
        <v>55</v>
      </c>
      <c r="B1" s="12" t="s">
        <v>56</v>
      </c>
      <c r="C1" s="12" t="s">
        <v>57</v>
      </c>
      <c r="D1" s="12" t="s">
        <v>58</v>
      </c>
      <c r="E1" s="12" t="s">
        <v>59</v>
      </c>
      <c r="F1" s="12" t="s">
        <v>60</v>
      </c>
      <c r="G1" s="12" t="s">
        <v>61</v>
      </c>
      <c r="H1" s="12" t="s">
        <v>62</v>
      </c>
    </row>
    <row r="2" spans="1:8" ht="15.75" thickBot="1" x14ac:dyDescent="0.3">
      <c r="A2" s="13">
        <v>1</v>
      </c>
      <c r="B2" s="13">
        <v>1</v>
      </c>
      <c r="C2" s="13">
        <v>2</v>
      </c>
      <c r="D2" s="13">
        <v>-4</v>
      </c>
      <c r="E2" s="13">
        <v>3</v>
      </c>
      <c r="F2" s="13">
        <v>1.5713999999999999</v>
      </c>
      <c r="G2" s="13">
        <v>-1.1194999999999999</v>
      </c>
      <c r="H2" s="13" t="s">
        <v>63</v>
      </c>
    </row>
    <row r="3" spans="1:8" ht="15.75" thickBot="1" x14ac:dyDescent="0.3">
      <c r="A3" s="13">
        <v>2</v>
      </c>
      <c r="B3" s="13">
        <v>1.5713999999999999</v>
      </c>
      <c r="C3" s="13">
        <v>2</v>
      </c>
      <c r="D3" s="13">
        <v>-1.1194999999999999</v>
      </c>
      <c r="E3" s="13">
        <v>3</v>
      </c>
      <c r="F3" s="13">
        <v>1.6880999999999999</v>
      </c>
      <c r="G3" s="13">
        <v>-0.18729999999999999</v>
      </c>
      <c r="H3" s="13">
        <v>6.9112999999999998</v>
      </c>
    </row>
    <row r="4" spans="1:8" ht="15.75" thickBot="1" x14ac:dyDescent="0.3">
      <c r="A4" s="13">
        <v>3</v>
      </c>
      <c r="B4" s="13">
        <v>1.6880999999999999</v>
      </c>
      <c r="C4" s="13">
        <v>2</v>
      </c>
      <c r="D4" s="13">
        <v>-0.18729999999999999</v>
      </c>
      <c r="E4" s="13">
        <v>3</v>
      </c>
      <c r="F4" s="13">
        <v>1.7064999999999999</v>
      </c>
      <c r="G4" s="13">
        <v>-2.92E-2</v>
      </c>
      <c r="H4" s="13">
        <v>1.0747</v>
      </c>
    </row>
    <row r="5" spans="1:8" ht="15.75" thickBot="1" x14ac:dyDescent="0.3">
      <c r="A5" s="13">
        <v>4</v>
      </c>
      <c r="B5" s="13">
        <v>1.7064999999999999</v>
      </c>
      <c r="C5" s="13">
        <v>2</v>
      </c>
      <c r="D5" s="13">
        <v>-2.92E-2</v>
      </c>
      <c r="E5" s="13">
        <v>3</v>
      </c>
      <c r="F5" s="13">
        <v>1.7093</v>
      </c>
      <c r="G5" s="13">
        <v>-4.4999999999999997E-3</v>
      </c>
      <c r="H5" s="13">
        <v>0.1633</v>
      </c>
    </row>
    <row r="6" spans="1:8" ht="15.75" thickBot="1" x14ac:dyDescent="0.3">
      <c r="A6" s="13">
        <v>5</v>
      </c>
      <c r="B6" s="13">
        <v>1.7093</v>
      </c>
      <c r="C6" s="13">
        <v>2</v>
      </c>
      <c r="D6" s="13">
        <v>-4.4999999999999997E-3</v>
      </c>
      <c r="E6" s="13">
        <v>3</v>
      </c>
      <c r="F6" s="13">
        <v>1.7097</v>
      </c>
      <c r="G6" s="13">
        <v>-6.9999999999999999E-4</v>
      </c>
      <c r="H6" s="13">
        <v>2.5100000000000001E-2</v>
      </c>
    </row>
    <row r="8" spans="1:8" x14ac:dyDescent="0.25">
      <c r="A8" t="s">
        <v>64</v>
      </c>
      <c r="B8" s="7" t="s">
        <v>65</v>
      </c>
    </row>
    <row r="9" spans="1:8" ht="15.75" thickBot="1" x14ac:dyDescent="0.3"/>
    <row r="10" spans="1:8" ht="15.75" thickBot="1" x14ac:dyDescent="0.3">
      <c r="A10" s="12" t="s">
        <v>55</v>
      </c>
      <c r="B10" s="12" t="s">
        <v>56</v>
      </c>
      <c r="C10" s="12" t="s">
        <v>57</v>
      </c>
      <c r="D10" s="12" t="s">
        <v>58</v>
      </c>
      <c r="E10" s="12" t="s">
        <v>59</v>
      </c>
      <c r="F10" s="12" t="s">
        <v>60</v>
      </c>
      <c r="G10" s="12" t="s">
        <v>61</v>
      </c>
      <c r="H10" s="12" t="s">
        <v>62</v>
      </c>
    </row>
    <row r="11" spans="1:8" ht="15.75" thickBot="1" x14ac:dyDescent="0.3">
      <c r="A11" s="13">
        <v>1</v>
      </c>
      <c r="B11" s="13">
        <v>0</v>
      </c>
      <c r="C11" s="13">
        <v>1</v>
      </c>
      <c r="D11" s="13">
        <v>1</v>
      </c>
      <c r="E11" s="13">
        <v>-0.4597</v>
      </c>
      <c r="F11" s="13">
        <v>0.68510000000000004</v>
      </c>
      <c r="G11" s="13">
        <v>8.9300000000000004E-2</v>
      </c>
      <c r="H11" s="13" t="s">
        <v>63</v>
      </c>
    </row>
    <row r="12" spans="1:8" ht="15.75" thickBot="1" x14ac:dyDescent="0.3">
      <c r="A12" s="13">
        <v>2</v>
      </c>
      <c r="B12" s="13">
        <v>0.68510000000000004</v>
      </c>
      <c r="C12" s="13">
        <v>1</v>
      </c>
      <c r="D12" s="13">
        <v>8.9300000000000004E-2</v>
      </c>
      <c r="E12" s="13">
        <v>-0.4597</v>
      </c>
      <c r="F12" s="13">
        <v>0.73629999999999995</v>
      </c>
      <c r="G12" s="13">
        <v>4.7000000000000002E-3</v>
      </c>
      <c r="H12" s="13">
        <v>6.9542000000000002</v>
      </c>
    </row>
    <row r="13" spans="1:8" ht="15.75" thickBot="1" x14ac:dyDescent="0.3">
      <c r="A13" s="13">
        <v>3</v>
      </c>
      <c r="B13" s="13">
        <v>0.73629999999999995</v>
      </c>
      <c r="C13" s="13">
        <v>1</v>
      </c>
      <c r="D13" s="13">
        <v>4.7000000000000002E-3</v>
      </c>
      <c r="E13" s="13">
        <v>-0.4597</v>
      </c>
      <c r="F13" s="13">
        <v>0.73899999999999999</v>
      </c>
      <c r="G13" s="13">
        <v>2.0000000000000001E-4</v>
      </c>
      <c r="H13" s="13">
        <v>0.36020000000000002</v>
      </c>
    </row>
    <row r="14" spans="1:8" ht="15.75" thickBot="1" x14ac:dyDescent="0.3">
      <c r="A14" s="13">
        <v>4</v>
      </c>
      <c r="B14" s="13">
        <v>0.73899999999999999</v>
      </c>
      <c r="C14" s="13">
        <v>1</v>
      </c>
      <c r="D14" s="13">
        <v>2.0000000000000001E-4</v>
      </c>
      <c r="E14" s="13">
        <v>-0.4597</v>
      </c>
      <c r="F14" s="13">
        <v>0.73909999999999998</v>
      </c>
      <c r="G14" s="13">
        <v>0</v>
      </c>
      <c r="H14" s="13">
        <v>1.83E-2</v>
      </c>
    </row>
    <row r="15" spans="1:8" ht="15.75" thickBot="1" x14ac:dyDescent="0.3">
      <c r="A15" s="13">
        <v>5</v>
      </c>
      <c r="B15" s="13">
        <v>0.73909999999999998</v>
      </c>
      <c r="C15" s="13">
        <v>1</v>
      </c>
      <c r="D15" s="13">
        <v>0</v>
      </c>
      <c r="E15" s="13">
        <v>-0.4597</v>
      </c>
      <c r="F15" s="13">
        <v>0.73909999999999998</v>
      </c>
      <c r="G15" s="13">
        <v>0</v>
      </c>
      <c r="H15" s="13">
        <v>8.9999999999999998E-4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2CB3A-1FC8-4413-92CB-4EADFBE89BAD}">
  <dimension ref="A1:L33"/>
  <sheetViews>
    <sheetView workbookViewId="0">
      <selection activeCell="M15" sqref="M15"/>
    </sheetView>
  </sheetViews>
  <sheetFormatPr baseColWidth="10" defaultRowHeight="15" x14ac:dyDescent="0.25"/>
  <sheetData>
    <row r="1" spans="1:12" x14ac:dyDescent="0.25">
      <c r="A1" s="5" t="s">
        <v>36</v>
      </c>
      <c r="B1" s="1" t="s">
        <v>44</v>
      </c>
    </row>
    <row r="2" spans="1:12" x14ac:dyDescent="0.25">
      <c r="A2" s="5" t="s">
        <v>43</v>
      </c>
      <c r="B2" s="1" t="s">
        <v>42</v>
      </c>
    </row>
    <row r="3" spans="1:12" x14ac:dyDescent="0.25">
      <c r="A3" s="5" t="s">
        <v>32</v>
      </c>
      <c r="B3" s="1">
        <v>2</v>
      </c>
    </row>
    <row r="5" spans="1:12" x14ac:dyDescent="0.25">
      <c r="A5" s="5" t="s">
        <v>41</v>
      </c>
      <c r="B5" s="5" t="s">
        <v>29</v>
      </c>
      <c r="C5" s="5" t="s">
        <v>40</v>
      </c>
      <c r="D5" s="5" t="s">
        <v>27</v>
      </c>
      <c r="E5" s="5" t="s">
        <v>39</v>
      </c>
      <c r="F5" s="10"/>
      <c r="G5" s="5" t="s">
        <v>4</v>
      </c>
      <c r="H5" s="5" t="s">
        <v>29</v>
      </c>
      <c r="I5" s="5" t="s">
        <v>28</v>
      </c>
      <c r="J5" s="5" t="s">
        <v>27</v>
      </c>
      <c r="K5" s="5" t="s">
        <v>26</v>
      </c>
      <c r="L5" s="5" t="s">
        <v>25</v>
      </c>
    </row>
    <row r="6" spans="1:12" x14ac:dyDescent="0.25">
      <c r="A6" s="5">
        <v>1</v>
      </c>
      <c r="B6" s="1">
        <v>2</v>
      </c>
      <c r="C6" s="1">
        <f>(2)^3-(2)-1</f>
        <v>5</v>
      </c>
      <c r="D6" s="1">
        <f>3*(B6)^2-1</f>
        <v>11</v>
      </c>
      <c r="E6" s="1">
        <f>B6-(C6/D6)</f>
        <v>1.5454545454545454</v>
      </c>
      <c r="G6" s="5">
        <v>1</v>
      </c>
      <c r="H6" s="1">
        <v>2</v>
      </c>
      <c r="I6" s="1">
        <f>(H6)^3-H6-1</f>
        <v>5</v>
      </c>
      <c r="J6" s="1">
        <f>3*(H6)^2-1</f>
        <v>11</v>
      </c>
      <c r="K6" s="1">
        <f>H6-(I6/J6)</f>
        <v>1.5454545454545454</v>
      </c>
      <c r="L6" s="1">
        <f>((K6-H6/K6)*100)</f>
        <v>25.133689839572181</v>
      </c>
    </row>
    <row r="7" spans="1:12" x14ac:dyDescent="0.25">
      <c r="A7" s="5">
        <v>2</v>
      </c>
      <c r="B7" s="1">
        <f>E6</f>
        <v>1.5454545454545454</v>
      </c>
      <c r="C7" s="1">
        <f>(B7)^3-B7-1</f>
        <v>1.1457550713749058</v>
      </c>
      <c r="D7" s="1">
        <f>3*(B7)^2-1</f>
        <v>6.1652892561983466</v>
      </c>
      <c r="E7" s="1">
        <f>B7-(C7/D7)</f>
        <v>1.359614915915184</v>
      </c>
      <c r="G7" s="5">
        <v>2</v>
      </c>
      <c r="H7" s="1">
        <f>K6</f>
        <v>1.5454545454545454</v>
      </c>
      <c r="I7" s="1">
        <f>(H7)^3-H7-1</f>
        <v>1.1457550713749058</v>
      </c>
      <c r="J7" s="1">
        <f>3*(H7)^2-1</f>
        <v>6.1652892561983466</v>
      </c>
      <c r="K7" s="1">
        <f>H7-(I7/J7)</f>
        <v>1.359614915915184</v>
      </c>
      <c r="L7" s="1">
        <f>((K7-H7/K7)*100)</f>
        <v>22.292942698446794</v>
      </c>
    </row>
    <row r="8" spans="1:12" x14ac:dyDescent="0.25">
      <c r="A8" s="5">
        <v>3</v>
      </c>
      <c r="B8" s="1">
        <f>E7</f>
        <v>1.359614915915184</v>
      </c>
      <c r="C8" s="1">
        <f>(B8)^3-B8-1</f>
        <v>0.15370493448007472</v>
      </c>
      <c r="D8" s="1">
        <f>3*(B8)^2-1</f>
        <v>4.5456581587371589</v>
      </c>
      <c r="E8" s="1">
        <f>B8-(C8/D8)</f>
        <v>1.325801345005845</v>
      </c>
      <c r="G8" s="5">
        <v>3</v>
      </c>
      <c r="H8" s="1">
        <f>K7</f>
        <v>1.359614915915184</v>
      </c>
      <c r="I8" s="1">
        <f>(H8)^3-H8-1</f>
        <v>0.15370493448007472</v>
      </c>
      <c r="J8" s="1">
        <f>3*(H8)^2-1</f>
        <v>4.5456581587371589</v>
      </c>
      <c r="K8" s="1">
        <f>H8-(I8/J8)</f>
        <v>1.325801345005845</v>
      </c>
      <c r="L8" s="1">
        <f>((K8-H8/K8)*100)</f>
        <v>30.029709353053068</v>
      </c>
    </row>
    <row r="9" spans="1:12" x14ac:dyDescent="0.25">
      <c r="A9" s="5">
        <v>4</v>
      </c>
      <c r="B9" s="1">
        <f>E8</f>
        <v>1.325801345005845</v>
      </c>
      <c r="C9" s="1">
        <f>(B9)^3-B9-1</f>
        <v>4.6249170478298574E-3</v>
      </c>
      <c r="D9" s="1">
        <f>3*(B9)^2-1</f>
        <v>4.2732476192579227</v>
      </c>
      <c r="E9" s="1">
        <f>B9-(C9/D9)</f>
        <v>1.3247190494171253</v>
      </c>
      <c r="G9" s="5">
        <v>4</v>
      </c>
      <c r="H9" s="1">
        <f>K8</f>
        <v>1.325801345005845</v>
      </c>
      <c r="I9" s="1">
        <f>(H9)^3-H9-1</f>
        <v>4.6249170478298574E-3</v>
      </c>
      <c r="J9" s="1">
        <f>3*(H9)^2-1</f>
        <v>4.2732476192579227</v>
      </c>
      <c r="K9" s="1">
        <f>H9-(I9/J9)</f>
        <v>1.3247190494171253</v>
      </c>
      <c r="L9" s="1">
        <f>((K9-H9/K9)*100)</f>
        <v>32.390204932250441</v>
      </c>
    </row>
    <row r="10" spans="1:12" x14ac:dyDescent="0.25">
      <c r="A10" s="5">
        <v>5</v>
      </c>
      <c r="B10" s="1">
        <f>E9</f>
        <v>1.3247190494171253</v>
      </c>
      <c r="C10" s="1">
        <f>(B10)^3-B10-1</f>
        <v>4.6577191092911363E-6</v>
      </c>
      <c r="D10" s="1">
        <f>3*(B10)^2-1</f>
        <v>4.2646416796658357</v>
      </c>
      <c r="E10" s="9">
        <f>B10-(C10/D10)</f>
        <v>1.3247179572458576</v>
      </c>
      <c r="G10" s="5">
        <v>5</v>
      </c>
      <c r="H10" s="1">
        <f>K9</f>
        <v>1.3247190494171253</v>
      </c>
      <c r="I10" s="1">
        <f>(H10)^3-H10-1</f>
        <v>4.6577191092911363E-6</v>
      </c>
      <c r="J10" s="1">
        <f>3*(H10)^2-1</f>
        <v>4.2646416796658357</v>
      </c>
      <c r="K10" s="9">
        <f>H10-(I10/J10)</f>
        <v>1.3247179572458576</v>
      </c>
      <c r="L10" s="1">
        <f>((K10-H10/K10)*100)</f>
        <v>32.471713279015987</v>
      </c>
    </row>
    <row r="13" spans="1:12" x14ac:dyDescent="0.25">
      <c r="A13" s="5" t="s">
        <v>36</v>
      </c>
      <c r="B13" s="8" t="s">
        <v>38</v>
      </c>
    </row>
    <row r="14" spans="1:12" x14ac:dyDescent="0.25">
      <c r="A14" s="11" t="s">
        <v>34</v>
      </c>
      <c r="B14" s="1" t="s">
        <v>37</v>
      </c>
    </row>
    <row r="15" spans="1:12" x14ac:dyDescent="0.25">
      <c r="A15" s="5" t="s">
        <v>32</v>
      </c>
      <c r="B15" s="1">
        <v>1</v>
      </c>
    </row>
    <row r="17" spans="1:12" x14ac:dyDescent="0.25">
      <c r="A17" s="5" t="s">
        <v>30</v>
      </c>
      <c r="B17" s="5" t="s">
        <v>29</v>
      </c>
      <c r="C17" s="5" t="s">
        <v>28</v>
      </c>
      <c r="D17" s="5" t="s">
        <v>27</v>
      </c>
      <c r="E17" s="5" t="s">
        <v>31</v>
      </c>
      <c r="G17" s="5" t="s">
        <v>4</v>
      </c>
      <c r="H17" s="5" t="s">
        <v>29</v>
      </c>
      <c r="I17" s="5" t="s">
        <v>28</v>
      </c>
      <c r="J17" s="5" t="s">
        <v>27</v>
      </c>
      <c r="K17" s="5" t="s">
        <v>26</v>
      </c>
      <c r="L17" s="5" t="s">
        <v>25</v>
      </c>
    </row>
    <row r="18" spans="1:12" x14ac:dyDescent="0.25">
      <c r="A18" s="5">
        <v>1</v>
      </c>
      <c r="B18" s="1">
        <v>1</v>
      </c>
      <c r="C18" s="1">
        <f>(B18)^2-2</f>
        <v>-1</v>
      </c>
      <c r="D18" s="1">
        <f>2*(B18)</f>
        <v>2</v>
      </c>
      <c r="E18" s="1">
        <f>B18-(C18/D18)</f>
        <v>1.5</v>
      </c>
      <c r="G18" s="5">
        <v>1</v>
      </c>
      <c r="H18" s="1">
        <v>1</v>
      </c>
      <c r="I18" s="1">
        <f>(H18)^2-2</f>
        <v>-1</v>
      </c>
      <c r="J18" s="1">
        <f>2*(H18)</f>
        <v>2</v>
      </c>
      <c r="K18" s="1">
        <f>H18-(I18/J18)</f>
        <v>1.5</v>
      </c>
      <c r="L18" s="1">
        <f>(K18-H18/K18)*100</f>
        <v>83.333333333333343</v>
      </c>
    </row>
    <row r="19" spans="1:12" x14ac:dyDescent="0.25">
      <c r="A19" s="5">
        <v>2</v>
      </c>
      <c r="B19" s="1">
        <f>E18</f>
        <v>1.5</v>
      </c>
      <c r="C19" s="1">
        <f>(B19)^2-2</f>
        <v>0.25</v>
      </c>
      <c r="D19" s="1">
        <f>2*(B19)</f>
        <v>3</v>
      </c>
      <c r="E19" s="1">
        <f>B19-(C19/D19)</f>
        <v>1.4166666666666667</v>
      </c>
      <c r="G19" s="5">
        <v>2</v>
      </c>
      <c r="H19" s="1">
        <f>K18</f>
        <v>1.5</v>
      </c>
      <c r="I19" s="1">
        <f>(H19)^2-2</f>
        <v>0.25</v>
      </c>
      <c r="J19" s="1">
        <f>2*(H19)</f>
        <v>3</v>
      </c>
      <c r="K19" s="1">
        <f>H19-(I19/J19)</f>
        <v>1.4166666666666667</v>
      </c>
      <c r="L19" s="1">
        <f>(K19-H19/K19)*100</f>
        <v>35.7843137254902</v>
      </c>
    </row>
    <row r="20" spans="1:12" x14ac:dyDescent="0.25">
      <c r="A20" s="5">
        <v>3</v>
      </c>
      <c r="B20" s="1">
        <f>E19</f>
        <v>1.4166666666666667</v>
      </c>
      <c r="C20" s="1">
        <f>(B20)^2-2</f>
        <v>6.9444444444446418E-3</v>
      </c>
      <c r="D20" s="1">
        <f>2*(B20)</f>
        <v>2.8333333333333335</v>
      </c>
      <c r="E20" s="1">
        <f>B20-(C20/D20)</f>
        <v>1.4142156862745099</v>
      </c>
      <c r="G20" s="5">
        <v>3</v>
      </c>
      <c r="H20" s="1">
        <f>K19</f>
        <v>1.4166666666666667</v>
      </c>
      <c r="I20" s="1">
        <f>(H20)^2-2</f>
        <v>6.9444444444446418E-3</v>
      </c>
      <c r="J20" s="1">
        <f>2*(H20)</f>
        <v>2.8333333333333335</v>
      </c>
      <c r="K20" s="1">
        <f>H20-(I20/J20)</f>
        <v>1.4142156862745099</v>
      </c>
      <c r="L20" s="1">
        <f>(K20-H20/K20)*100</f>
        <v>41.248258402147698</v>
      </c>
    </row>
    <row r="21" spans="1:12" x14ac:dyDescent="0.25">
      <c r="A21" s="5">
        <v>4</v>
      </c>
      <c r="B21" s="1">
        <f>E20</f>
        <v>1.4142156862745099</v>
      </c>
      <c r="C21" s="1">
        <f>(B21)^2-2</f>
        <v>6.0073048828712672E-6</v>
      </c>
      <c r="D21" s="1">
        <f>2*(B21)</f>
        <v>2.8284313725490198</v>
      </c>
      <c r="E21" s="1">
        <f>B21-(C21/D21)</f>
        <v>1.4142135623746899</v>
      </c>
      <c r="G21" s="5">
        <v>4</v>
      </c>
      <c r="H21" s="1">
        <f>K20</f>
        <v>1.4142156862745099</v>
      </c>
      <c r="I21" s="1">
        <f>(H21)^2-2</f>
        <v>6.0073048828712672E-6</v>
      </c>
      <c r="J21" s="1">
        <f>2*(H21)</f>
        <v>2.8284313725490198</v>
      </c>
      <c r="K21" s="1">
        <f>H21-(I21/J21)</f>
        <v>1.4142135623746899</v>
      </c>
      <c r="L21" s="1">
        <f>(K21-H21/K21)*100</f>
        <v>41.421206055072467</v>
      </c>
    </row>
    <row r="22" spans="1:12" x14ac:dyDescent="0.25">
      <c r="A22" s="5">
        <v>5</v>
      </c>
      <c r="B22" s="1">
        <f>E21</f>
        <v>1.4142135623746899</v>
      </c>
      <c r="C22" s="1">
        <f>(B22)^2-2</f>
        <v>4.510614104447086E-12</v>
      </c>
      <c r="D22" s="1">
        <f>2*(B22)</f>
        <v>2.8284271247493797</v>
      </c>
      <c r="E22" s="1">
        <f>B22-(C22/D22)</f>
        <v>1.4142135623730951</v>
      </c>
      <c r="G22" s="5">
        <v>5</v>
      </c>
      <c r="H22" s="1">
        <f>K21</f>
        <v>1.4142135623746899</v>
      </c>
      <c r="I22" s="1">
        <f>(H22)^2-2</f>
        <v>4.510614104447086E-12</v>
      </c>
      <c r="J22" s="1">
        <f>2*(H22)</f>
        <v>2.8284271247493797</v>
      </c>
      <c r="K22" s="1">
        <f>H22-(I22/J22)</f>
        <v>1.4142135623730951</v>
      </c>
      <c r="L22" s="1">
        <f>(K22-H22/K22)*100</f>
        <v>41.421356237196761</v>
      </c>
    </row>
    <row r="24" spans="1:12" x14ac:dyDescent="0.25">
      <c r="A24" s="5" t="s">
        <v>36</v>
      </c>
      <c r="B24" s="1" t="s">
        <v>35</v>
      </c>
    </row>
    <row r="25" spans="1:12" x14ac:dyDescent="0.25">
      <c r="A25" s="11" t="s">
        <v>34</v>
      </c>
      <c r="B25" s="1" t="s">
        <v>33</v>
      </c>
      <c r="D25" s="7"/>
    </row>
    <row r="26" spans="1:12" x14ac:dyDescent="0.25">
      <c r="A26" s="5" t="s">
        <v>32</v>
      </c>
      <c r="B26" s="1">
        <v>3</v>
      </c>
    </row>
    <row r="28" spans="1:12" x14ac:dyDescent="0.25">
      <c r="A28" s="5" t="s">
        <v>30</v>
      </c>
      <c r="B28" s="5" t="s">
        <v>29</v>
      </c>
      <c r="C28" s="5" t="s">
        <v>28</v>
      </c>
      <c r="D28" s="5" t="s">
        <v>27</v>
      </c>
      <c r="E28" s="5" t="s">
        <v>31</v>
      </c>
      <c r="G28" s="5" t="s">
        <v>30</v>
      </c>
      <c r="H28" s="5" t="s">
        <v>29</v>
      </c>
      <c r="I28" s="5" t="s">
        <v>28</v>
      </c>
      <c r="J28" s="5" t="s">
        <v>27</v>
      </c>
      <c r="K28" s="5" t="s">
        <v>26</v>
      </c>
      <c r="L28" s="5" t="s">
        <v>25</v>
      </c>
    </row>
    <row r="29" spans="1:12" x14ac:dyDescent="0.25">
      <c r="A29" s="5">
        <v>1</v>
      </c>
      <c r="B29" s="1">
        <v>3</v>
      </c>
      <c r="C29" s="1">
        <f>(B29)^2-(2*(B29))-8</f>
        <v>-5</v>
      </c>
      <c r="D29" s="1">
        <f>2*(B29)-2</f>
        <v>4</v>
      </c>
      <c r="E29" s="1">
        <f>B29-(C29/D29)</f>
        <v>4.25</v>
      </c>
      <c r="G29" s="5">
        <v>1</v>
      </c>
      <c r="H29" s="1">
        <v>3</v>
      </c>
      <c r="I29" s="1">
        <f>(H29)^2-(2*(H29))-8</f>
        <v>-5</v>
      </c>
      <c r="J29" s="1">
        <f>2*(H29)-2</f>
        <v>4</v>
      </c>
      <c r="K29" s="1">
        <f>H29-(I29/J29)</f>
        <v>4.25</v>
      </c>
      <c r="L29" s="1">
        <f>(K29-H29/K29)*100</f>
        <v>354.41176470588232</v>
      </c>
    </row>
    <row r="30" spans="1:12" x14ac:dyDescent="0.25">
      <c r="A30" s="5">
        <v>2</v>
      </c>
      <c r="B30" s="1">
        <f>E29</f>
        <v>4.25</v>
      </c>
      <c r="C30" s="1">
        <f>(B30)^2-(2*(B30))-8</f>
        <v>1.5625</v>
      </c>
      <c r="D30" s="1">
        <f>2*(B30)-2</f>
        <v>6.5</v>
      </c>
      <c r="E30" s="1">
        <f>B30-(C30/D30)</f>
        <v>4.009615384615385</v>
      </c>
      <c r="G30" s="5">
        <v>2</v>
      </c>
      <c r="H30" s="1">
        <f>K29</f>
        <v>4.25</v>
      </c>
      <c r="I30" s="1">
        <f>(H30)^2-(2*(H30))-8</f>
        <v>1.5625</v>
      </c>
      <c r="J30" s="1">
        <f>2*(H30)-2</f>
        <v>6.5</v>
      </c>
      <c r="K30" s="1">
        <f>H30-(I30/J30)</f>
        <v>4.009615384615385</v>
      </c>
      <c r="L30" s="1">
        <f>(K30-H30/K30)*100</f>
        <v>294.96633462460807</v>
      </c>
    </row>
    <row r="31" spans="1:12" x14ac:dyDescent="0.25">
      <c r="A31" s="5">
        <v>3</v>
      </c>
      <c r="B31" s="1">
        <f>E30</f>
        <v>4.009615384615385</v>
      </c>
      <c r="C31" s="1">
        <f>(B31)^2-(2*(B31))-8</f>
        <v>5.7784763313613041E-2</v>
      </c>
      <c r="D31" s="1">
        <f>2*(B31)-2</f>
        <v>6.0192307692307701</v>
      </c>
      <c r="E31" s="1">
        <f>B31-(C31/D31)</f>
        <v>4.0000153600393213</v>
      </c>
      <c r="G31" s="5">
        <v>3</v>
      </c>
      <c r="H31" s="1">
        <f>K30</f>
        <v>4.009615384615385</v>
      </c>
      <c r="I31" s="1">
        <f>(H31)^2-(2*(H31))-8</f>
        <v>5.7784763313613041E-2</v>
      </c>
      <c r="J31" s="1">
        <f>2*(H31)-2</f>
        <v>6.0192307692307701</v>
      </c>
      <c r="K31" s="1">
        <f>H31-(I31/J31)</f>
        <v>4.0000153600393213</v>
      </c>
      <c r="L31" s="1">
        <f>(K31-H31/K31)*100</f>
        <v>299.76153631113169</v>
      </c>
    </row>
    <row r="32" spans="1:12" x14ac:dyDescent="0.25">
      <c r="A32" s="5">
        <v>4</v>
      </c>
      <c r="B32" s="1">
        <f>E31</f>
        <v>4.0000153600393213</v>
      </c>
      <c r="C32" s="1">
        <f>(B32)^2-(2*(B32))-8</f>
        <v>9.2160471860225357E-5</v>
      </c>
      <c r="D32" s="1">
        <f>2*(B32)-2</f>
        <v>6.0000307200786427</v>
      </c>
      <c r="E32" s="1">
        <f>B32-(C32/D32)</f>
        <v>4.0000000000393214</v>
      </c>
      <c r="G32" s="5">
        <v>4</v>
      </c>
      <c r="H32" s="1">
        <f>K31</f>
        <v>4.0000153600393213</v>
      </c>
      <c r="I32" s="1">
        <f>(H32)^2-(2*(H32))-8</f>
        <v>9.2160471860225357E-5</v>
      </c>
      <c r="J32" s="1">
        <f>2*(H32)-2</f>
        <v>6.0000307200786427</v>
      </c>
      <c r="K32" s="1">
        <f>H32-(I32/J32)</f>
        <v>4.0000000000393214</v>
      </c>
      <c r="L32" s="1">
        <f>(K32-H32/K32)*100</f>
        <v>299.99961600393215</v>
      </c>
    </row>
    <row r="33" spans="1:12" x14ac:dyDescent="0.25">
      <c r="A33" s="5">
        <v>5</v>
      </c>
      <c r="B33" s="1">
        <f>E32</f>
        <v>4.0000000000393214</v>
      </c>
      <c r="C33" s="1">
        <f>(B33)^2-(2*(B33))-8</f>
        <v>2.3592860998178367E-10</v>
      </c>
      <c r="D33" s="1">
        <f>2*(B33)-2</f>
        <v>6.0000000000786429</v>
      </c>
      <c r="E33" s="1">
        <f>B33-(C33/D33)</f>
        <v>4</v>
      </c>
      <c r="G33" s="5">
        <v>5</v>
      </c>
      <c r="H33" s="1">
        <f>K32</f>
        <v>4.0000000000393214</v>
      </c>
      <c r="I33" s="1">
        <f>(H33)^2-(2*(H33))-8</f>
        <v>2.3592860998178367E-10</v>
      </c>
      <c r="J33" s="1">
        <f>2*(H33)-2</f>
        <v>6.0000000000786429</v>
      </c>
      <c r="K33" s="1">
        <f>H33-(I33/J33)</f>
        <v>4</v>
      </c>
      <c r="L33" s="1">
        <f>(K33-H33/K33)*100</f>
        <v>299.99999999901695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Inicio</vt:lpstr>
      <vt:lpstr>Secante</vt:lpstr>
      <vt:lpstr>Biseccion</vt:lpstr>
      <vt:lpstr>Falsa posicion</vt:lpstr>
      <vt:lpstr>Metodo de Newton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Bathory 666</dc:creator>
  <cp:lastModifiedBy>Bathory 666</cp:lastModifiedBy>
  <cp:lastPrinted>2026-02-24T00:55:01Z</cp:lastPrinted>
  <dcterms:created xsi:type="dcterms:W3CDTF">2026-02-21T05:18:11Z</dcterms:created>
  <dcterms:modified xsi:type="dcterms:W3CDTF">2026-02-24T00:55:29Z</dcterms:modified>
</cp:coreProperties>
</file>